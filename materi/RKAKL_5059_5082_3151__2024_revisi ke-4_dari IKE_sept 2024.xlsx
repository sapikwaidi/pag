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ike\Documents\Flasdisk1\2024\REN 2024\revisi TOR 2024\"/>
    </mc:Choice>
  </mc:AlternateContent>
  <xr:revisionPtr revIDLastSave="0" documentId="13_ncr:1_{CABD7AD8-1B2B-4D89-AFCF-37686C482247}" xr6:coauthVersionLast="47" xr6:coauthVersionMax="47" xr10:uidLastSave="{00000000-0000-0000-0000-000000000000}"/>
  <bookViews>
    <workbookView xWindow="34980" yWindow="2460" windowWidth="19185" windowHeight="10065" xr2:uid="{00000000-000D-0000-FFFF-FFFF00000000}"/>
  </bookViews>
  <sheets>
    <sheet name="RAB Revisi ke-4" sheetId="5" r:id="rId1"/>
  </sheets>
  <definedNames>
    <definedName name="_xlnm.Print_Area" localSheetId="0">'RAB Revisi ke-4'!$A$1:$U$228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29" i="5" l="1"/>
  <c r="U129" i="5"/>
  <c r="S129" i="5"/>
  <c r="T130" i="5"/>
  <c r="U130" i="5"/>
  <c r="S130" i="5"/>
  <c r="S132" i="5"/>
  <c r="S131" i="5"/>
  <c r="Q132" i="5"/>
  <c r="U132" i="5" l="1"/>
  <c r="R111" i="5" l="1"/>
  <c r="Q203" i="5" l="1"/>
  <c r="T203" i="5" l="1"/>
  <c r="S203" i="5"/>
  <c r="S202" i="5" s="1"/>
  <c r="T202" i="5"/>
  <c r="U203" i="5" l="1"/>
  <c r="U202" i="5" s="1"/>
  <c r="Q122" i="5"/>
  <c r="T122" i="5" s="1"/>
  <c r="U122" i="5" s="1"/>
  <c r="S118" i="5"/>
  <c r="Q124" i="5"/>
  <c r="T124" i="5" s="1"/>
  <c r="U124" i="5" s="1"/>
  <c r="Q123" i="5"/>
  <c r="T123" i="5" s="1"/>
  <c r="U123" i="5" s="1"/>
  <c r="Q131" i="5"/>
  <c r="U131" i="5" s="1"/>
  <c r="S24" i="5"/>
  <c r="S23" i="5" s="1"/>
  <c r="S22" i="5" s="1"/>
  <c r="Q201" i="5"/>
  <c r="Q200" i="5"/>
  <c r="Q199" i="5"/>
  <c r="Q197" i="5"/>
  <c r="Q196" i="5"/>
  <c r="Q195" i="5"/>
  <c r="Q194" i="5"/>
  <c r="Q193" i="5"/>
  <c r="Q192" i="5"/>
  <c r="Q191" i="5"/>
  <c r="Q190" i="5"/>
  <c r="Q174" i="5"/>
  <c r="Q173" i="5"/>
  <c r="T173" i="5" s="1"/>
  <c r="U173" i="5" s="1"/>
  <c r="Q172" i="5"/>
  <c r="T172" i="5" s="1"/>
  <c r="U172" i="5" s="1"/>
  <c r="Q171" i="5"/>
  <c r="T171" i="5" s="1"/>
  <c r="S170" i="5"/>
  <c r="Q169" i="5"/>
  <c r="S169" i="5" s="1"/>
  <c r="Q168" i="5"/>
  <c r="S168" i="5" s="1"/>
  <c r="Q167" i="5"/>
  <c r="S167" i="5" s="1"/>
  <c r="Q166" i="5"/>
  <c r="Q164" i="5"/>
  <c r="T164" i="5" s="1"/>
  <c r="U164" i="5" s="1"/>
  <c r="Q163" i="5"/>
  <c r="T163" i="5" s="1"/>
  <c r="U163" i="5" s="1"/>
  <c r="Q162" i="5"/>
  <c r="T162" i="5" s="1"/>
  <c r="U162" i="5" s="1"/>
  <c r="S161" i="5"/>
  <c r="Q160" i="5"/>
  <c r="T160" i="5" s="1"/>
  <c r="U160" i="5" s="1"/>
  <c r="Q159" i="5"/>
  <c r="T159" i="5" s="1"/>
  <c r="U159" i="5" s="1"/>
  <c r="Q158" i="5"/>
  <c r="T158" i="5" s="1"/>
  <c r="U158" i="5" s="1"/>
  <c r="Q157" i="5"/>
  <c r="T157" i="5" s="1"/>
  <c r="U157" i="5" s="1"/>
  <c r="Q156" i="5"/>
  <c r="T156" i="5" s="1"/>
  <c r="U156" i="5" s="1"/>
  <c r="Q155" i="5"/>
  <c r="T155" i="5" s="1"/>
  <c r="U155" i="5" s="1"/>
  <c r="Q154" i="5"/>
  <c r="T154" i="5" s="1"/>
  <c r="U154" i="5" s="1"/>
  <c r="Q153" i="5"/>
  <c r="T153" i="5" s="1"/>
  <c r="U153" i="5" s="1"/>
  <c r="Q152" i="5"/>
  <c r="T152" i="5" s="1"/>
  <c r="S151" i="5"/>
  <c r="Q141" i="5"/>
  <c r="Q140" i="5"/>
  <c r="T140" i="5" s="1"/>
  <c r="S139" i="5"/>
  <c r="Q128" i="5"/>
  <c r="T128" i="5" s="1"/>
  <c r="U128" i="5" s="1"/>
  <c r="Q127" i="5"/>
  <c r="T127" i="5" s="1"/>
  <c r="U127" i="5" s="1"/>
  <c r="Q126" i="5"/>
  <c r="T126" i="5" s="1"/>
  <c r="S125" i="5"/>
  <c r="Q133" i="5"/>
  <c r="T133" i="5" s="1"/>
  <c r="U133" i="5" s="1"/>
  <c r="Q121" i="5"/>
  <c r="T121" i="5" s="1"/>
  <c r="U121" i="5" s="1"/>
  <c r="Q120" i="5"/>
  <c r="T120" i="5" s="1"/>
  <c r="U120" i="5" s="1"/>
  <c r="Q119" i="5"/>
  <c r="T119" i="5" s="1"/>
  <c r="Q117" i="5"/>
  <c r="T117" i="5" s="1"/>
  <c r="U117" i="5" s="1"/>
  <c r="Q116" i="5"/>
  <c r="T116" i="5" s="1"/>
  <c r="U116" i="5" s="1"/>
  <c r="Q115" i="5"/>
  <c r="T115" i="5" s="1"/>
  <c r="U115" i="5" s="1"/>
  <c r="Q114" i="5"/>
  <c r="T114" i="5" s="1"/>
  <c r="U114" i="5" s="1"/>
  <c r="Q113" i="5"/>
  <c r="T113" i="5" s="1"/>
  <c r="U113" i="5" s="1"/>
  <c r="Q112" i="5"/>
  <c r="T112" i="5" s="1"/>
  <c r="S111" i="5"/>
  <c r="Q109" i="5"/>
  <c r="T109" i="5" s="1"/>
  <c r="U109" i="5" s="1"/>
  <c r="Q108" i="5"/>
  <c r="T108" i="5" s="1"/>
  <c r="U108" i="5" s="1"/>
  <c r="Q107" i="5"/>
  <c r="T107" i="5" s="1"/>
  <c r="U107" i="5" s="1"/>
  <c r="Q106" i="5"/>
  <c r="T106" i="5" s="1"/>
  <c r="S105" i="5"/>
  <c r="Q104" i="5"/>
  <c r="T104" i="5" s="1"/>
  <c r="U104" i="5" s="1"/>
  <c r="Q103" i="5"/>
  <c r="T103" i="5" s="1"/>
  <c r="U103" i="5" s="1"/>
  <c r="Q102" i="5"/>
  <c r="T102" i="5" s="1"/>
  <c r="U102" i="5" s="1"/>
  <c r="Q101" i="5"/>
  <c r="T101" i="5" s="1"/>
  <c r="U101" i="5" s="1"/>
  <c r="U100" i="5"/>
  <c r="Q100" i="5"/>
  <c r="Q99" i="5"/>
  <c r="T99" i="5" s="1"/>
  <c r="U99" i="5" s="1"/>
  <c r="Q98" i="5"/>
  <c r="T98" i="5" s="1"/>
  <c r="U98" i="5" s="1"/>
  <c r="Q97" i="5"/>
  <c r="T97" i="5" s="1"/>
  <c r="U97" i="5" s="1"/>
  <c r="Q96" i="5"/>
  <c r="T96" i="5" s="1"/>
  <c r="U96" i="5" s="1"/>
  <c r="S95" i="5"/>
  <c r="Q94" i="5"/>
  <c r="T94" i="5" s="1"/>
  <c r="U94" i="5" s="1"/>
  <c r="Q93" i="5"/>
  <c r="T93" i="5" s="1"/>
  <c r="U93" i="5" s="1"/>
  <c r="Q92" i="5"/>
  <c r="T92" i="5" s="1"/>
  <c r="U92" i="5" s="1"/>
  <c r="Q91" i="5"/>
  <c r="T91" i="5" s="1"/>
  <c r="U91" i="5" s="1"/>
  <c r="Q90" i="5"/>
  <c r="T90" i="5" s="1"/>
  <c r="U90" i="5" s="1"/>
  <c r="Q89" i="5"/>
  <c r="T89" i="5" s="1"/>
  <c r="U89" i="5" s="1"/>
  <c r="Q88" i="5"/>
  <c r="T88" i="5" s="1"/>
  <c r="U88" i="5" s="1"/>
  <c r="Q87" i="5"/>
  <c r="T87" i="5" s="1"/>
  <c r="U87" i="5" s="1"/>
  <c r="Q81" i="5"/>
  <c r="T81" i="5" s="1"/>
  <c r="U81" i="5" s="1"/>
  <c r="Q80" i="5"/>
  <c r="T80" i="5" s="1"/>
  <c r="U80" i="5" s="1"/>
  <c r="Q79" i="5"/>
  <c r="T79" i="5" s="1"/>
  <c r="U79" i="5" s="1"/>
  <c r="Q78" i="5"/>
  <c r="T78" i="5" s="1"/>
  <c r="U78" i="5" s="1"/>
  <c r="Q77" i="5"/>
  <c r="T77" i="5" s="1"/>
  <c r="U77" i="5" s="1"/>
  <c r="Q76" i="5"/>
  <c r="T76" i="5" s="1"/>
  <c r="U76" i="5" s="1"/>
  <c r="Q75" i="5"/>
  <c r="T75" i="5" s="1"/>
  <c r="U75" i="5" s="1"/>
  <c r="Q74" i="5"/>
  <c r="T74" i="5" s="1"/>
  <c r="S73" i="5"/>
  <c r="S72" i="5" s="1"/>
  <c r="Q71" i="5"/>
  <c r="T71" i="5" s="1"/>
  <c r="Q70" i="5"/>
  <c r="Q69" i="5"/>
  <c r="T69" i="5" s="1"/>
  <c r="S68" i="5"/>
  <c r="Q65" i="5"/>
  <c r="T65" i="5" s="1"/>
  <c r="U65" i="5" s="1"/>
  <c r="Q64" i="5"/>
  <c r="T64" i="5" s="1"/>
  <c r="U64" i="5" s="1"/>
  <c r="Q63" i="5"/>
  <c r="T63" i="5" s="1"/>
  <c r="S62" i="5"/>
  <c r="Q61" i="5"/>
  <c r="T61" i="5" s="1"/>
  <c r="U61" i="5" s="1"/>
  <c r="Q60" i="5"/>
  <c r="T60" i="5" s="1"/>
  <c r="U60" i="5" s="1"/>
  <c r="Q59" i="5"/>
  <c r="T59" i="5" s="1"/>
  <c r="S58" i="5"/>
  <c r="Q55" i="5"/>
  <c r="T55" i="5" s="1"/>
  <c r="U55" i="5" s="1"/>
  <c r="W54" i="5"/>
  <c r="H54" i="5"/>
  <c r="Q54" i="5" s="1"/>
  <c r="T54" i="5" s="1"/>
  <c r="U54" i="5" s="1"/>
  <c r="Q53" i="5"/>
  <c r="T53" i="5" s="1"/>
  <c r="W52" i="5"/>
  <c r="Q52" i="5"/>
  <c r="T52" i="5" s="1"/>
  <c r="U52" i="5" s="1"/>
  <c r="V51" i="5"/>
  <c r="W51" i="5" s="1"/>
  <c r="S51" i="5"/>
  <c r="S50" i="5" s="1"/>
  <c r="Q44" i="5"/>
  <c r="V44" i="5" s="1"/>
  <c r="W44" i="5" s="1"/>
  <c r="Q43" i="5"/>
  <c r="V43" i="5" s="1"/>
  <c r="W41" i="5"/>
  <c r="Q41" i="5"/>
  <c r="T41" i="5" s="1"/>
  <c r="V40" i="5"/>
  <c r="S40" i="5"/>
  <c r="Q39" i="5"/>
  <c r="T39" i="5" s="1"/>
  <c r="U39" i="5" s="1"/>
  <c r="Q38" i="5"/>
  <c r="T38" i="5" s="1"/>
  <c r="U38" i="5" s="1"/>
  <c r="V37" i="5"/>
  <c r="W37" i="5" s="1"/>
  <c r="S37" i="5"/>
  <c r="V27" i="5"/>
  <c r="V26" i="5" s="1"/>
  <c r="Q27" i="5"/>
  <c r="T27" i="5" s="1"/>
  <c r="V20" i="5"/>
  <c r="W20" i="5" s="1"/>
  <c r="Q20" i="5"/>
  <c r="T20" i="5" s="1"/>
  <c r="U20" i="5" s="1"/>
  <c r="V19" i="5"/>
  <c r="W19" i="5" s="1"/>
  <c r="Q19" i="5"/>
  <c r="T19" i="5" s="1"/>
  <c r="T141" i="5" l="1"/>
  <c r="U141" i="5" s="1"/>
  <c r="T193" i="5"/>
  <c r="S193" i="5"/>
  <c r="S166" i="5"/>
  <c r="T166" i="5"/>
  <c r="U166" i="5" s="1"/>
  <c r="T174" i="5"/>
  <c r="S174" i="5"/>
  <c r="T196" i="5"/>
  <c r="S196" i="5"/>
  <c r="T197" i="5"/>
  <c r="U197" i="5" s="1"/>
  <c r="S197" i="5"/>
  <c r="T190" i="5"/>
  <c r="S190" i="5"/>
  <c r="T199" i="5"/>
  <c r="S199" i="5"/>
  <c r="T194" i="5"/>
  <c r="S194" i="5"/>
  <c r="T195" i="5"/>
  <c r="U195" i="5" s="1"/>
  <c r="S195" i="5"/>
  <c r="T191" i="5"/>
  <c r="S191" i="5"/>
  <c r="T200" i="5"/>
  <c r="S200" i="5"/>
  <c r="T192" i="5"/>
  <c r="T189" i="5" s="1"/>
  <c r="S192" i="5"/>
  <c r="T201" i="5"/>
  <c r="S201" i="5"/>
  <c r="T167" i="5"/>
  <c r="T168" i="5"/>
  <c r="T165" i="5" s="1"/>
  <c r="T169" i="5"/>
  <c r="T118" i="5"/>
  <c r="S67" i="5"/>
  <c r="S110" i="5"/>
  <c r="S36" i="5"/>
  <c r="U70" i="5"/>
  <c r="U71" i="5"/>
  <c r="T198" i="5"/>
  <c r="V36" i="5"/>
  <c r="W36" i="5" s="1"/>
  <c r="T44" i="5"/>
  <c r="U44" i="5" s="1"/>
  <c r="T62" i="5"/>
  <c r="U63" i="5"/>
  <c r="U62" i="5" s="1"/>
  <c r="T73" i="5"/>
  <c r="T72" i="5" s="1"/>
  <c r="W43" i="5"/>
  <c r="V42" i="5"/>
  <c r="W42" i="5" s="1"/>
  <c r="Q14" i="5"/>
  <c r="Q22" i="5"/>
  <c r="T22" i="5" s="1"/>
  <c r="U22" i="5" s="1"/>
  <c r="S57" i="5"/>
  <c r="S56" i="5" s="1"/>
  <c r="V18" i="5"/>
  <c r="T43" i="5"/>
  <c r="T151" i="5"/>
  <c r="U161" i="5"/>
  <c r="U53" i="5"/>
  <c r="U51" i="5" s="1"/>
  <c r="U50" i="5" s="1"/>
  <c r="T51" i="5"/>
  <c r="T50" i="5" s="1"/>
  <c r="U69" i="5"/>
  <c r="T68" i="5"/>
  <c r="U27" i="5"/>
  <c r="U26" i="5" s="1"/>
  <c r="U25" i="5" s="1"/>
  <c r="U24" i="5" s="1"/>
  <c r="U23" i="5" s="1"/>
  <c r="T26" i="5"/>
  <c r="T25" i="5" s="1"/>
  <c r="T24" i="5" s="1"/>
  <c r="T23" i="5" s="1"/>
  <c r="U19" i="5"/>
  <c r="U18" i="5" s="1"/>
  <c r="U17" i="5" s="1"/>
  <c r="U16" i="5" s="1"/>
  <c r="U15" i="5" s="1"/>
  <c r="U14" i="5" s="1"/>
  <c r="T18" i="5"/>
  <c r="T17" i="5" s="1"/>
  <c r="T16" i="5" s="1"/>
  <c r="T15" i="5" s="1"/>
  <c r="T14" i="5" s="1"/>
  <c r="T58" i="5"/>
  <c r="U59" i="5"/>
  <c r="U95" i="5"/>
  <c r="U106" i="5"/>
  <c r="U105" i="5" s="1"/>
  <c r="T105" i="5"/>
  <c r="T170" i="5"/>
  <c r="U171" i="5"/>
  <c r="U170" i="5" s="1"/>
  <c r="V25" i="5"/>
  <c r="W26" i="5"/>
  <c r="U37" i="5"/>
  <c r="T37" i="5"/>
  <c r="U41" i="5"/>
  <c r="U40" i="5" s="1"/>
  <c r="T40" i="5"/>
  <c r="U112" i="5"/>
  <c r="U111" i="5" s="1"/>
  <c r="T111" i="5"/>
  <c r="U126" i="5"/>
  <c r="U125" i="5" s="1"/>
  <c r="T125" i="5"/>
  <c r="W27" i="5"/>
  <c r="U152" i="5"/>
  <c r="U151" i="5" s="1"/>
  <c r="W40" i="5"/>
  <c r="U74" i="5"/>
  <c r="U73" i="5" s="1"/>
  <c r="U72" i="5" s="1"/>
  <c r="T95" i="5"/>
  <c r="U119" i="5"/>
  <c r="U118" i="5" s="1"/>
  <c r="U140" i="5"/>
  <c r="T161" i="5"/>
  <c r="T139" i="5" l="1"/>
  <c r="U139" i="5"/>
  <c r="U193" i="5"/>
  <c r="U196" i="5"/>
  <c r="S198" i="5"/>
  <c r="U199" i="5"/>
  <c r="U200" i="5"/>
  <c r="U174" i="5"/>
  <c r="U194" i="5"/>
  <c r="S189" i="5"/>
  <c r="S188" i="5" s="1"/>
  <c r="S187" i="5" s="1"/>
  <c r="S186" i="5" s="1"/>
  <c r="S185" i="5" s="1"/>
  <c r="S184" i="5" s="1"/>
  <c r="U190" i="5"/>
  <c r="U191" i="5"/>
  <c r="U192" i="5"/>
  <c r="U201" i="5"/>
  <c r="U169" i="5"/>
  <c r="U168" i="5"/>
  <c r="U167" i="5"/>
  <c r="U165" i="5" s="1"/>
  <c r="U150" i="5" s="1"/>
  <c r="U149" i="5" s="1"/>
  <c r="U148" i="5" s="1"/>
  <c r="U147" i="5" s="1"/>
  <c r="U146" i="5" s="1"/>
  <c r="S165" i="5"/>
  <c r="S150" i="5" s="1"/>
  <c r="S149" i="5" s="1"/>
  <c r="S148" i="5" s="1"/>
  <c r="S147" i="5" s="1"/>
  <c r="S146" i="5" s="1"/>
  <c r="S145" i="5" s="1"/>
  <c r="S144" i="5" s="1"/>
  <c r="T188" i="5"/>
  <c r="T187" i="5" s="1"/>
  <c r="T186" i="5" s="1"/>
  <c r="T185" i="5" s="1"/>
  <c r="T184" i="5" s="1"/>
  <c r="S33" i="5"/>
  <c r="S66" i="5"/>
  <c r="T67" i="5"/>
  <c r="U68" i="5"/>
  <c r="U67" i="5" s="1"/>
  <c r="T150" i="5"/>
  <c r="T149" i="5" s="1"/>
  <c r="T148" i="5" s="1"/>
  <c r="T147" i="5" s="1"/>
  <c r="T146" i="5" s="1"/>
  <c r="T36" i="5"/>
  <c r="T13" i="5"/>
  <c r="U13" i="5"/>
  <c r="U36" i="5"/>
  <c r="T57" i="5"/>
  <c r="T56" i="5" s="1"/>
  <c r="U43" i="5"/>
  <c r="U42" i="5" s="1"/>
  <c r="T42" i="5"/>
  <c r="W18" i="5"/>
  <c r="V17" i="5"/>
  <c r="U58" i="5"/>
  <c r="U57" i="5" s="1"/>
  <c r="U56" i="5" s="1"/>
  <c r="W25" i="5"/>
  <c r="V24" i="5"/>
  <c r="T110" i="5"/>
  <c r="U110" i="5"/>
  <c r="U189" i="5" l="1"/>
  <c r="U198" i="5"/>
  <c r="U188" i="5" s="1"/>
  <c r="U187" i="5" s="1"/>
  <c r="U186" i="5" s="1"/>
  <c r="U185" i="5" s="1"/>
  <c r="U184" i="5" s="1"/>
  <c r="U145" i="5" s="1"/>
  <c r="U144" i="5" s="1"/>
  <c r="S32" i="5"/>
  <c r="S31" i="5" s="1"/>
  <c r="S30" i="5" s="1"/>
  <c r="S29" i="5" s="1"/>
  <c r="S12" i="5" s="1"/>
  <c r="T66" i="5"/>
  <c r="T145" i="5"/>
  <c r="T144" i="5" s="1"/>
  <c r="U66" i="5"/>
  <c r="T33" i="5"/>
  <c r="U33" i="5"/>
  <c r="V16" i="5"/>
  <c r="W17" i="5"/>
  <c r="V23" i="5"/>
  <c r="W24" i="5"/>
  <c r="U32" i="5" l="1"/>
  <c r="U31" i="5" s="1"/>
  <c r="T32" i="5"/>
  <c r="T31" i="5" s="1"/>
  <c r="T30" i="5" s="1"/>
  <c r="U30" i="5" s="1"/>
  <c r="V15" i="5"/>
  <c r="W16" i="5"/>
  <c r="W23" i="5"/>
  <c r="V22" i="5"/>
  <c r="T29" i="5" l="1"/>
  <c r="V14" i="5"/>
  <c r="W14" i="5" s="1"/>
  <c r="W15" i="5"/>
  <c r="W22" i="5"/>
  <c r="U29" i="5" l="1"/>
  <c r="U12" i="5" s="1"/>
  <c r="T12" i="5"/>
  <c r="V13" i="5"/>
  <c r="W13" i="5" s="1"/>
</calcChain>
</file>

<file path=xl/sharedStrings.xml><?xml version="1.0" encoding="utf-8"?>
<sst xmlns="http://schemas.openxmlformats.org/spreadsheetml/2006/main" count="802" uniqueCount="231">
  <si>
    <t>x</t>
  </si>
  <si>
    <t>kali</t>
  </si>
  <si>
    <t>Uraian  Suboutput/Komponen/ Subkomponen/Akun/Detil</t>
  </si>
  <si>
    <t>Volume   Sub Output</t>
  </si>
  <si>
    <t>Jenis Komponen (Utama/ Pendukung)</t>
  </si>
  <si>
    <t>Rincian Perhitungan</t>
  </si>
  <si>
    <t>Harga Satuan</t>
  </si>
  <si>
    <t>Jumlah</t>
  </si>
  <si>
    <t>Jml</t>
  </si>
  <si>
    <t>KEPOLISIAN NEGARA REPUBLIK INDONESIA</t>
  </si>
  <si>
    <t>DIREKTORAT RESERSE KRIMINAL KHUSUS</t>
  </si>
  <si>
    <t>RINCIAN ANGGARAN BELANJA</t>
  </si>
  <si>
    <t>rim</t>
  </si>
  <si>
    <t>giat</t>
  </si>
  <si>
    <t>bh</t>
  </si>
  <si>
    <t xml:space="preserve">   DAERAH METROPOLITAN JAKARTA RAYA</t>
  </si>
  <si>
    <t>NO</t>
  </si>
  <si>
    <t>3151.BCE.001</t>
  </si>
  <si>
    <t>Penanganan Tindak Pidana Siber</t>
  </si>
  <si>
    <t>003</t>
  </si>
  <si>
    <t>Dukungan Operasional Pertahanan dan Keamanan</t>
  </si>
  <si>
    <t>EV</t>
  </si>
  <si>
    <t>PENGEMBANGAN, PENINGKATAN PENGAKUAN SISTEM</t>
  </si>
  <si>
    <t xml:space="preserve">AKREDITASI SERTIFIKASI STANDAR, PK TINGKAT BILATERAL, </t>
  </si>
  <si>
    <t>REGIONAL, INTERNASIONAL</t>
  </si>
  <si>
    <t>Belanja Barang Operasional Lainnya</t>
  </si>
  <si>
    <t>1.</t>
  </si>
  <si>
    <t>a.</t>
  </si>
  <si>
    <t>Giat</t>
  </si>
  <si>
    <t>2.</t>
  </si>
  <si>
    <t>Org</t>
  </si>
  <si>
    <t>b.</t>
  </si>
  <si>
    <t>3.</t>
  </si>
  <si>
    <t>c.</t>
  </si>
  <si>
    <t>d.</t>
  </si>
  <si>
    <t>Belanja Honor Output Kegiatan</t>
  </si>
  <si>
    <t>Hr</t>
  </si>
  <si>
    <t>Belanja Jasa Profesi</t>
  </si>
  <si>
    <t>Jam</t>
  </si>
  <si>
    <t>Latkatpuan Giat Siber</t>
  </si>
  <si>
    <t>kmr</t>
  </si>
  <si>
    <t>mlm</t>
  </si>
  <si>
    <t>hr</t>
  </si>
  <si>
    <t>Belanja Perjalanan Dinas Paket Meeting Dalam Kota</t>
  </si>
  <si>
    <t>Belanja Perjalanan Dinas Paket Meeting Luar Kota</t>
  </si>
  <si>
    <t>Uang harian</t>
  </si>
  <si>
    <t>Biaya penginapan</t>
  </si>
  <si>
    <t>FS</t>
  </si>
  <si>
    <t>DUKOPS SATKER</t>
  </si>
  <si>
    <t>lusin</t>
  </si>
  <si>
    <t>e.</t>
  </si>
  <si>
    <t>kotak</t>
  </si>
  <si>
    <t>Belanja Bahan</t>
  </si>
  <si>
    <t>Belanja Perjalanan Dinas Biasa</t>
  </si>
  <si>
    <t>1. Honorarium Narasumber/pembahas pakar/praktisi/prof (instruktur)</t>
  </si>
  <si>
    <t>2. Honorarium pemberi keterangan Ahli/Saksi Ahli</t>
  </si>
  <si>
    <t>Belanja Perjalanan Dinas Dalam Kota</t>
  </si>
  <si>
    <t>1. Uang harian giat Direction Finder dalam kota</t>
  </si>
  <si>
    <t>2. Uang harian giat LDFCC dalam kota</t>
  </si>
  <si>
    <t>Belanja Perjalanan Dinas Biasa - Luar Negeri</t>
  </si>
  <si>
    <t>1. Uang saku Jaldis Luar Negeri Pa (Gol C)</t>
  </si>
  <si>
    <t>2. Uang saku Jaldis Luar Negeri Ba (Gol D)</t>
  </si>
  <si>
    <t>LN</t>
  </si>
  <si>
    <t>1. Tipid Siber Ditreskrimsus (Sangat Sulit)</t>
  </si>
  <si>
    <t>kss</t>
  </si>
  <si>
    <t>th</t>
  </si>
  <si>
    <t>2. Tipid Siber Ditreskrimsus (Sangat Sulit)</t>
  </si>
  <si>
    <t>Penindakan Tindak Pidana Siber</t>
  </si>
  <si>
    <t>3151.BCE</t>
  </si>
  <si>
    <t>Penanganan Perkara [Base Line]</t>
  </si>
  <si>
    <t>Dukungan Manajemen dan Teknik Sarpras</t>
  </si>
  <si>
    <t>5059.EBA</t>
  </si>
  <si>
    <t>Layanan Dukungan Manajemen Internal [Base Line]</t>
  </si>
  <si>
    <t>5059.EBA.994</t>
  </si>
  <si>
    <t>Layanan Perkantoran</t>
  </si>
  <si>
    <t>002</t>
  </si>
  <si>
    <t>Operasional dan Pemeliharaan Kantor</t>
  </si>
  <si>
    <t>BI</t>
  </si>
  <si>
    <t>PEMELIHARAAN PERALATAN FUNGSIONAL</t>
  </si>
  <si>
    <t>Belanja Pemeliharaan Peralatan dan Mesin</t>
  </si>
  <si>
    <t>Pembinaan Operasional Penyelidikan dan Penyidikan Tindak Pidana</t>
  </si>
  <si>
    <t>5082.EBA</t>
  </si>
  <si>
    <t>5082.EBA.962</t>
  </si>
  <si>
    <t>Layanan Umum</t>
  </si>
  <si>
    <t>TINDAK PIDANA SIBER</t>
  </si>
  <si>
    <t>3151.QCE</t>
  </si>
  <si>
    <t>3151.QCE.002</t>
  </si>
  <si>
    <t>Penanganan Tindak Pidana Siber (PN)</t>
  </si>
  <si>
    <t>1. Penyelesaian Kejahatan Siber</t>
  </si>
  <si>
    <t>5059.EBA.962</t>
  </si>
  <si>
    <t>BM</t>
  </si>
  <si>
    <t>OPERASIONAL &amp; PEMELIHARAAN JAR. SISTEM INFORMASI</t>
  </si>
  <si>
    <t>Perawatan Infrastruktur dan Data Center</t>
  </si>
  <si>
    <t>Perangkat Server dan Jaringan</t>
  </si>
  <si>
    <t>1) Server HP-DL380</t>
  </si>
  <si>
    <t>2) Server Dell Poweredge R440</t>
  </si>
  <si>
    <t>3) Firewall Cisco Firepower FPR2110-NGFW-K9</t>
  </si>
  <si>
    <t>4) Switch Cisco C9300 24P-E</t>
  </si>
  <si>
    <t>5) Switch Cisco C3650 48P-E</t>
  </si>
  <si>
    <t>6) Switch Cisco C2960</t>
  </si>
  <si>
    <t>unit</t>
  </si>
  <si>
    <t>7) Switch Aruba 1950 48G-POE</t>
  </si>
  <si>
    <t>8) Access Point Cisco Air-AP2802EF-K9C</t>
  </si>
  <si>
    <t>9) Access Point Aruba AP-303</t>
  </si>
  <si>
    <t xml:space="preserve">b. </t>
  </si>
  <si>
    <t>Perangkat kelistrikan</t>
  </si>
  <si>
    <t>1) Precision Air Conditioner (PAC) 35 KW</t>
  </si>
  <si>
    <t>2) UPS ABB 35KW</t>
  </si>
  <si>
    <t>3) Panel Electrical</t>
  </si>
  <si>
    <t>Perangkat pendukung dan surveillance</t>
  </si>
  <si>
    <t>1) Fire System - Kidde Fenwal</t>
  </si>
  <si>
    <t>2) CCTV</t>
  </si>
  <si>
    <t>3) Environment Monitoring System (EMS)</t>
  </si>
  <si>
    <t>4) Access Door</t>
  </si>
  <si>
    <t>Perangkat audio video</t>
  </si>
  <si>
    <t>1) Wall Display Orion</t>
  </si>
  <si>
    <t>2) Wireless Presentation System - WIPG 1000</t>
  </si>
  <si>
    <t>3) Audio System Yamaha</t>
  </si>
  <si>
    <t>Layanan Jaringan Internet 200Mbps</t>
  </si>
  <si>
    <t>Pemeliharaan Alsus Siber</t>
  </si>
  <si>
    <t>thn</t>
  </si>
  <si>
    <t>Pemeliharaan &amp; Perawatan Infrastruktur Laboratorium Digital Forensik</t>
  </si>
  <si>
    <t>Pemeliharaan &amp; Perawatan Direction Finder (DF)</t>
  </si>
  <si>
    <t>KEBUTUHAN ANGGARAN TAHUN 2024</t>
  </si>
  <si>
    <t>060.01.BI</t>
  </si>
  <si>
    <t>Program Penyelidikan dan Penyidikan Tindak Pidana</t>
  </si>
  <si>
    <t>Biaya transportasi peserta dalam kota (Jakarta)</t>
  </si>
  <si>
    <t>Biaya transportasi</t>
  </si>
  <si>
    <t>Giat Tim Pokja Pengadaan barang/harwat Alsus Siber</t>
  </si>
  <si>
    <t>ATK Harwat Alsus</t>
  </si>
  <si>
    <t>Fotocopy Harwat Alsus</t>
  </si>
  <si>
    <t>lbr</t>
  </si>
  <si>
    <t>Jilid Harwat Alsus</t>
  </si>
  <si>
    <t>buku</t>
  </si>
  <si>
    <t>Giat Subdit Siber</t>
  </si>
  <si>
    <t>Kali</t>
  </si>
  <si>
    <t>Bh</t>
  </si>
  <si>
    <t>Pak</t>
  </si>
  <si>
    <t>Kotak</t>
  </si>
  <si>
    <t>ATK Giat Katpuan (Siber)</t>
  </si>
  <si>
    <t>1) Kertas A4</t>
  </si>
  <si>
    <t>2) Kertas F4</t>
  </si>
  <si>
    <t>4) Binder Clip</t>
  </si>
  <si>
    <t>6) Post It</t>
  </si>
  <si>
    <t>9) Spanduk</t>
  </si>
  <si>
    <t>10) Standing Banner</t>
  </si>
  <si>
    <t>11) Plakat narasumber</t>
  </si>
  <si>
    <t>13) souvenir peserta</t>
  </si>
  <si>
    <t>060.01.BP</t>
  </si>
  <si>
    <t>Program Modernisasi Almatsus dan Saranan Prasarana Polri</t>
  </si>
  <si>
    <t>Selisih</t>
  </si>
  <si>
    <t xml:space="preserve">Biaya pelatihan dan sertifikasi penguji digital forensik </t>
  </si>
  <si>
    <t>Biaya pelatihan dan sertifikasi digital forensik investigasi</t>
  </si>
  <si>
    <t>Menjadi V2</t>
  </si>
  <si>
    <t>Uang harian panitia</t>
  </si>
  <si>
    <t>Paket fullday panitia, peserta dan narasumber</t>
  </si>
  <si>
    <t>Biaya penginapan panitia</t>
  </si>
  <si>
    <t xml:space="preserve">1. </t>
  </si>
  <si>
    <t>Biaya pelatihan dan sertifikasi penguji digital forensik</t>
  </si>
  <si>
    <t>1. Jaldis biasa giat Direction Finder</t>
  </si>
  <si>
    <t>a. Jaldis ke Depok giat Direction Finder</t>
  </si>
  <si>
    <t>b. Jaldis ke Bekasi giat Direction Finder</t>
  </si>
  <si>
    <t>c. Jaldis ke Tangerang giat Direction Finder</t>
  </si>
  <si>
    <t>d. Jaldis ke Bogor giat Direction Finder</t>
  </si>
  <si>
    <t>e. Jaldis ke Jawa Barat giat Direction Finder</t>
  </si>
  <si>
    <t>f. Jaldis ke Jawa Tengah giat Direction Finder</t>
  </si>
  <si>
    <t>2. Jaldis biasa giat LDFCC</t>
  </si>
  <si>
    <t>a. Jaldis ke Depok giat LDFCC</t>
  </si>
  <si>
    <t>b. Jaldis ke Bekasi giat LDFCC</t>
  </si>
  <si>
    <t>c. Jaldis ke Tangerang giat LDFCC</t>
  </si>
  <si>
    <t>3) Refill tinta</t>
  </si>
  <si>
    <t>16) Amplop putih panjang</t>
  </si>
  <si>
    <t xml:space="preserve">1) Upgrade/Renewal License Annual Software Forensik Perangkat Selular </t>
  </si>
  <si>
    <t xml:space="preserve">2) Upgrade/Renewal License Versi Forensik Perangkat Selular </t>
  </si>
  <si>
    <t>3) Upgrade/Renewal License Annual Software Forensik Komputer, Perangkat Selular &amp; Cloud</t>
  </si>
  <si>
    <t>4) Upgrade/Renewal License Annual Software Forensik Perangkat Selular dan Cloud</t>
  </si>
  <si>
    <t>5) Upgrade/Renewal License Annual Software Virtual Forensic Komputer</t>
  </si>
  <si>
    <t>6) Upgrade/Renewal License Annual Software Mount Forensik Komputer</t>
  </si>
  <si>
    <t>7) Upgrade/Renewal License Annual Software Forensik Komputer</t>
  </si>
  <si>
    <t>8) Upgrade/Renewal License Annual Software Forensik Komputer2</t>
  </si>
  <si>
    <t>5) Selotip hitam besar</t>
  </si>
  <si>
    <t>7) Isi staples</t>
  </si>
  <si>
    <t>8) Map batik</t>
  </si>
  <si>
    <t xml:space="preserve">12) note book </t>
  </si>
  <si>
    <t>14) Nametag custom panitia+peserta</t>
  </si>
  <si>
    <t>15) Pulpen</t>
  </si>
  <si>
    <t>1. Honor Tim Pokja (Pok ULP) Harwat Infrastruktur Laboratorium Digifor Siber</t>
  </si>
  <si>
    <t>3. Honor Tim Pokja (Pok ULP) Pelatihan dan sertifikasi digital forensik</t>
  </si>
  <si>
    <t>4. Honor Tim Pokja (Pok ULP) Harwat Direction Finder Siber</t>
  </si>
  <si>
    <t>2. Honor Tim Pokja (Pok ULP) Harwat Infrastruktur &amp; Data Center Siber</t>
  </si>
  <si>
    <t>Biaya sertifikasi Cyber Security Analyst</t>
  </si>
  <si>
    <t>3. Uang harian giat pelatihan anggota Siber</t>
  </si>
  <si>
    <t>b. Uang harian</t>
  </si>
  <si>
    <t>1) GSM UMTS Active System 1</t>
  </si>
  <si>
    <t>2) GSM UMTS Active System 2</t>
  </si>
  <si>
    <t>Pelatihan dan Sertifikasi Digital Forensik</t>
  </si>
  <si>
    <t>Sertifikasi dan kompetensi</t>
  </si>
  <si>
    <t>SUBDIT IV/TIPID SIBER DITRESKRIMSUS POLDA METRO JAYA</t>
  </si>
  <si>
    <t>Jakarta,        Januari   2024</t>
  </si>
  <si>
    <t>KASUBDIT IV/TIPID SIBER</t>
  </si>
  <si>
    <t>ARDIAN SATRIO UTOMO, S.H., S.I.K, M.Si.</t>
  </si>
  <si>
    <t>AJUN KOMISARIS BESAR POLISI NRP 85011664</t>
  </si>
  <si>
    <t>Belanja Jaldis Paket Meeting Luar kota</t>
  </si>
  <si>
    <t>b. Penginapan giat LDFCC luar kota</t>
  </si>
  <si>
    <t>c. Uang harian giat LDFCC luar kota</t>
  </si>
  <si>
    <t>Pelatihan dan sertifikasi digital forensik</t>
  </si>
  <si>
    <t>Semula</t>
  </si>
  <si>
    <t>Menjadi</t>
  </si>
  <si>
    <t>3) DF Aktif 2G, 3G, 4G LTE TTD</t>
  </si>
  <si>
    <t>ATK dan percetakan Giat LDFCC</t>
  </si>
  <si>
    <t xml:space="preserve">a. </t>
  </si>
  <si>
    <t>buah</t>
  </si>
  <si>
    <t>f.</t>
  </si>
  <si>
    <t>g.</t>
  </si>
  <si>
    <t>h.</t>
  </si>
  <si>
    <t>i.</t>
  </si>
  <si>
    <t>Toner HP Laserjet Black 507A</t>
  </si>
  <si>
    <t>Toner HP Laserjet Magenta 507A</t>
  </si>
  <si>
    <t>Toner HP Laserjet Yellow 507A</t>
  </si>
  <si>
    <t>Toner HP Laserjet Cyan 507A</t>
  </si>
  <si>
    <t>Kertas HVS A4</t>
  </si>
  <si>
    <t>Kertas HVS F4</t>
  </si>
  <si>
    <t xml:space="preserve">Map BA Forensik </t>
  </si>
  <si>
    <t>Map Digital Forensik</t>
  </si>
  <si>
    <t>DVD Digital Forensik</t>
  </si>
  <si>
    <t>keping</t>
  </si>
  <si>
    <t>a. Biaya transport</t>
  </si>
  <si>
    <t>Pemeliharaan Materiil</t>
  </si>
  <si>
    <t xml:space="preserve">1) Pemeliharaan Komputer/Laptop Siber </t>
  </si>
  <si>
    <t>2. Jaldis biasa giat pelatihan/seminar/workshop anggota Siber</t>
  </si>
  <si>
    <t>b. Uang saku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</si>
</sst>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4" formatCode="_-&quot;Rp&quot;* #,##0.00_-;\-&quot;Rp&quot;* #,##0.00_-;_-&quot;Rp&quot;* &quot;-&quot;??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 Narrow"/>
      <family val="2"/>
    </font>
    <font>
      <b/>
      <sz val="12"/>
      <name val="Arial Narrow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 Narrow"/>
      <family val="2"/>
    </font>
    <font>
      <b/>
      <sz val="10"/>
      <name val="Arial Narrow"/>
      <family val="2"/>
    </font>
    <font>
      <sz val="10"/>
      <name val="Calibri"/>
      <family val="2"/>
      <scheme val="minor"/>
    </font>
    <font>
      <sz val="12"/>
      <color theme="0"/>
      <name val="Arial Narrow"/>
      <family val="2"/>
    </font>
    <font>
      <sz val="12"/>
      <color theme="1"/>
      <name val="Arial Narrow"/>
      <family val="2"/>
    </font>
    <font>
      <u/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1"/>
      <name val="Arial Narrow"/>
      <family val="2"/>
    </font>
    <font>
      <sz val="11"/>
      <color theme="1"/>
      <name val="Arial Narrow"/>
      <family val="2"/>
    </font>
    <font>
      <sz val="12"/>
      <color theme="3" tint="0.39997558519241921"/>
      <name val="Arial Narrow"/>
      <family val="2"/>
    </font>
    <font>
      <sz val="12"/>
      <color rgb="FFFF0000"/>
      <name val="Arial Narrow"/>
      <family val="2"/>
    </font>
    <font>
      <b/>
      <sz val="12"/>
      <color theme="3" tint="0.39997558519241921"/>
      <name val="Arial Narrow"/>
      <family val="2"/>
    </font>
    <font>
      <b/>
      <sz val="12"/>
      <color rgb="FFFF0000"/>
      <name val="Arial Narrow"/>
      <family val="2"/>
    </font>
    <font>
      <sz val="12"/>
      <color theme="3" tint="-0.249977111117893"/>
      <name val="Arial Narrow"/>
      <family val="2"/>
    </font>
    <font>
      <sz val="11"/>
      <color rgb="FFFF0000"/>
      <name val="Arial Narrow"/>
      <family val="2"/>
    </font>
    <font>
      <b/>
      <u/>
      <sz val="12"/>
      <color theme="1"/>
      <name val="Arial Narrow"/>
      <family val="2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rgb="FF000000"/>
      </bottom>
      <diagonal/>
    </border>
    <border>
      <left style="thin">
        <color rgb="FF000000"/>
      </left>
      <right style="thin">
        <color indexed="64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66">
    <xf numFmtId="0" fontId="0" fillId="0" borderId="0" xfId="0"/>
    <xf numFmtId="3" fontId="5" fillId="0" borderId="0" xfId="0" applyNumberFormat="1" applyFont="1" applyAlignment="1">
      <alignment horizontal="right"/>
    </xf>
    <xf numFmtId="0" fontId="0" fillId="0" borderId="4" xfId="0" applyBorder="1"/>
    <xf numFmtId="0" fontId="2" fillId="0" borderId="0" xfId="2" applyFont="1" applyAlignment="1">
      <alignment horizontal="center" vertical="top"/>
    </xf>
    <xf numFmtId="3" fontId="3" fillId="0" borderId="0" xfId="2" applyNumberFormat="1" applyFont="1"/>
    <xf numFmtId="3" fontId="2" fillId="0" borderId="0" xfId="2" applyNumberFormat="1" applyFont="1" applyAlignment="1">
      <alignment horizontal="center"/>
    </xf>
    <xf numFmtId="165" fontId="2" fillId="0" borderId="0" xfId="3" applyNumberFormat="1" applyFont="1" applyFill="1" applyBorder="1"/>
    <xf numFmtId="0" fontId="6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0" fontId="5" fillId="0" borderId="0" xfId="0" applyFont="1" applyAlignment="1">
      <alignment horizontal="left"/>
    </xf>
    <xf numFmtId="0" fontId="7" fillId="2" borderId="0" xfId="0" applyFont="1" applyFill="1"/>
    <xf numFmtId="0" fontId="7" fillId="2" borderId="0" xfId="0" quotePrefix="1" applyFont="1" applyFill="1" applyAlignment="1">
      <alignment horizontal="right" vertical="center"/>
    </xf>
    <xf numFmtId="0" fontId="7" fillId="2" borderId="0" xfId="0" quotePrefix="1" applyFont="1" applyFill="1" applyAlignment="1">
      <alignment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/>
    </xf>
    <xf numFmtId="0" fontId="7" fillId="2" borderId="0" xfId="2" applyFont="1" applyFill="1" applyAlignment="1">
      <alignment horizontal="center" vertical="top"/>
    </xf>
    <xf numFmtId="0" fontId="8" fillId="2" borderId="0" xfId="2" applyFont="1" applyFill="1" applyAlignment="1">
      <alignment horizontal="center" vertical="top"/>
    </xf>
    <xf numFmtId="3" fontId="8" fillId="2" borderId="0" xfId="2" applyNumberFormat="1" applyFont="1" applyFill="1"/>
    <xf numFmtId="3" fontId="7" fillId="2" borderId="0" xfId="2" applyNumberFormat="1" applyFont="1" applyFill="1" applyAlignment="1">
      <alignment horizontal="center"/>
    </xf>
    <xf numFmtId="3" fontId="9" fillId="2" borderId="0" xfId="0" quotePrefix="1" applyNumberFormat="1" applyFont="1" applyFill="1" applyAlignment="1">
      <alignment horizontal="right"/>
    </xf>
    <xf numFmtId="165" fontId="7" fillId="2" borderId="0" xfId="3" applyNumberFormat="1" applyFont="1" applyFill="1" applyBorder="1"/>
    <xf numFmtId="0" fontId="3" fillId="0" borderId="3" xfId="0" applyFont="1" applyBorder="1" applyAlignment="1">
      <alignment horizontal="center"/>
    </xf>
    <xf numFmtId="165" fontId="2" fillId="0" borderId="3" xfId="3" applyNumberFormat="1" applyFont="1" applyFill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3" fontId="2" fillId="0" borderId="0" xfId="0" applyNumberFormat="1" applyFont="1" applyAlignment="1">
      <alignment horizontal="left"/>
    </xf>
    <xf numFmtId="3" fontId="2" fillId="0" borderId="0" xfId="0" applyNumberFormat="1" applyFont="1" applyAlignment="1">
      <alignment horizontal="right"/>
    </xf>
    <xf numFmtId="0" fontId="2" fillId="0" borderId="17" xfId="0" applyFont="1" applyBorder="1" applyAlignment="1">
      <alignment vertical="center" wrapText="1"/>
    </xf>
    <xf numFmtId="0" fontId="2" fillId="0" borderId="18" xfId="0" applyFont="1" applyBorder="1" applyAlignment="1">
      <alignment vertical="center" wrapText="1"/>
    </xf>
    <xf numFmtId="0" fontId="2" fillId="0" borderId="20" xfId="0" applyFont="1" applyBorder="1" applyAlignment="1">
      <alignment vertical="center" wrapText="1"/>
    </xf>
    <xf numFmtId="0" fontId="2" fillId="0" borderId="22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2" xfId="0" applyFont="1" applyBorder="1" applyAlignment="1">
      <alignment horizontal="left" vertical="center"/>
    </xf>
    <xf numFmtId="0" fontId="3" fillId="0" borderId="3" xfId="0" applyFont="1" applyBorder="1"/>
    <xf numFmtId="0" fontId="2" fillId="0" borderId="5" xfId="2" applyFont="1" applyBorder="1" applyAlignment="1">
      <alignment horizontal="center" vertical="top"/>
    </xf>
    <xf numFmtId="0" fontId="3" fillId="0" borderId="5" xfId="2" applyFont="1" applyBorder="1" applyAlignment="1">
      <alignment horizontal="center" vertical="top"/>
    </xf>
    <xf numFmtId="3" fontId="3" fillId="0" borderId="5" xfId="2" applyNumberFormat="1" applyFont="1" applyBorder="1"/>
    <xf numFmtId="3" fontId="2" fillId="0" borderId="3" xfId="2" applyNumberFormat="1" applyFont="1" applyBorder="1" applyAlignment="1">
      <alignment horizontal="center"/>
    </xf>
    <xf numFmtId="3" fontId="2" fillId="0" borderId="3" xfId="0" applyNumberFormat="1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11" fillId="0" borderId="3" xfId="0" quotePrefix="1" applyFont="1" applyBorder="1" applyAlignment="1">
      <alignment horizontal="center" vertical="center"/>
    </xf>
    <xf numFmtId="0" fontId="11" fillId="0" borderId="4" xfId="0" applyFont="1" applyBorder="1"/>
    <xf numFmtId="0" fontId="11" fillId="0" borderId="5" xfId="0" applyFont="1" applyBorder="1"/>
    <xf numFmtId="0" fontId="11" fillId="0" borderId="24" xfId="0" applyFont="1" applyBorder="1"/>
    <xf numFmtId="41" fontId="11" fillId="0" borderId="25" xfId="0" applyNumberFormat="1" applyFont="1" applyBorder="1"/>
    <xf numFmtId="0" fontId="2" fillId="2" borderId="6" xfId="0" quotePrefix="1" applyFont="1" applyFill="1" applyBorder="1" applyAlignment="1">
      <alignment horizontal="right" vertical="center"/>
    </xf>
    <xf numFmtId="0" fontId="2" fillId="2" borderId="7" xfId="0" quotePrefix="1" applyFont="1" applyFill="1" applyBorder="1" applyAlignment="1">
      <alignment vertical="center"/>
    </xf>
    <xf numFmtId="0" fontId="2" fillId="2" borderId="8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horizontal="left" vertical="center"/>
    </xf>
    <xf numFmtId="0" fontId="2" fillId="2" borderId="6" xfId="0" applyFont="1" applyFill="1" applyBorder="1"/>
    <xf numFmtId="0" fontId="2" fillId="2" borderId="6" xfId="0" applyFont="1" applyFill="1" applyBorder="1" applyAlignment="1">
      <alignment horizontal="center"/>
    </xf>
    <xf numFmtId="0" fontId="2" fillId="2" borderId="8" xfId="2" applyFont="1" applyFill="1" applyBorder="1" applyAlignment="1">
      <alignment horizontal="center" vertical="top"/>
    </xf>
    <xf numFmtId="0" fontId="3" fillId="2" borderId="8" xfId="2" applyFont="1" applyFill="1" applyBorder="1" applyAlignment="1">
      <alignment horizontal="center" vertical="top"/>
    </xf>
    <xf numFmtId="3" fontId="3" fillId="2" borderId="8" xfId="2" applyNumberFormat="1" applyFont="1" applyFill="1" applyBorder="1"/>
    <xf numFmtId="3" fontId="2" fillId="2" borderId="6" xfId="2" applyNumberFormat="1" applyFont="1" applyFill="1" applyBorder="1" applyAlignment="1">
      <alignment horizontal="center"/>
    </xf>
    <xf numFmtId="3" fontId="2" fillId="2" borderId="6" xfId="0" quotePrefix="1" applyNumberFormat="1" applyFont="1" applyFill="1" applyBorder="1" applyAlignment="1">
      <alignment horizontal="right"/>
    </xf>
    <xf numFmtId="165" fontId="2" fillId="2" borderId="6" xfId="3" applyNumberFormat="1" applyFont="1" applyFill="1" applyBorder="1"/>
    <xf numFmtId="0" fontId="13" fillId="0" borderId="5" xfId="0" applyFont="1" applyBorder="1"/>
    <xf numFmtId="0" fontId="13" fillId="0" borderId="24" xfId="0" applyFont="1" applyBorder="1"/>
    <xf numFmtId="0" fontId="3" fillId="0" borderId="2" xfId="0" applyFont="1" applyBorder="1" applyAlignment="1">
      <alignment horizontal="left" vertical="center"/>
    </xf>
    <xf numFmtId="165" fontId="3" fillId="0" borderId="3" xfId="3" applyNumberFormat="1" applyFont="1" applyFill="1" applyBorder="1"/>
    <xf numFmtId="3" fontId="2" fillId="0" borderId="5" xfId="2" applyNumberFormat="1" applyFont="1" applyBorder="1"/>
    <xf numFmtId="0" fontId="10" fillId="0" borderId="5" xfId="2" applyFont="1" applyBorder="1" applyAlignment="1">
      <alignment horizontal="center" vertical="top"/>
    </xf>
    <xf numFmtId="0" fontId="13" fillId="3" borderId="3" xfId="0" quotePrefix="1" applyFont="1" applyFill="1" applyBorder="1" applyAlignment="1">
      <alignment horizontal="right" vertical="center"/>
    </xf>
    <xf numFmtId="0" fontId="13" fillId="3" borderId="4" xfId="0" applyFont="1" applyFill="1" applyBorder="1"/>
    <xf numFmtId="0" fontId="11" fillId="3" borderId="5" xfId="0" applyFont="1" applyFill="1" applyBorder="1"/>
    <xf numFmtId="0" fontId="11" fillId="3" borderId="24" xfId="0" applyFont="1" applyFill="1" applyBorder="1"/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/>
    <xf numFmtId="0" fontId="2" fillId="3" borderId="3" xfId="0" applyFont="1" applyFill="1" applyBorder="1" applyAlignment="1">
      <alignment horizontal="center"/>
    </xf>
    <xf numFmtId="0" fontId="2" fillId="3" borderId="5" xfId="2" applyFont="1" applyFill="1" applyBorder="1" applyAlignment="1">
      <alignment horizontal="center" vertical="top"/>
    </xf>
    <xf numFmtId="0" fontId="3" fillId="3" borderId="5" xfId="2" applyFont="1" applyFill="1" applyBorder="1" applyAlignment="1">
      <alignment horizontal="center" vertical="top"/>
    </xf>
    <xf numFmtId="3" fontId="3" fillId="3" borderId="5" xfId="2" applyNumberFormat="1" applyFont="1" applyFill="1" applyBorder="1"/>
    <xf numFmtId="3" fontId="2" fillId="3" borderId="3" xfId="2" applyNumberFormat="1" applyFont="1" applyFill="1" applyBorder="1" applyAlignment="1">
      <alignment horizontal="center"/>
    </xf>
    <xf numFmtId="41" fontId="11" fillId="3" borderId="25" xfId="0" applyNumberFormat="1" applyFont="1" applyFill="1" applyBorder="1"/>
    <xf numFmtId="165" fontId="3" fillId="3" borderId="3" xfId="3" applyNumberFormat="1" applyFont="1" applyFill="1" applyBorder="1"/>
    <xf numFmtId="0" fontId="13" fillId="4" borderId="4" xfId="0" applyFont="1" applyFill="1" applyBorder="1"/>
    <xf numFmtId="0" fontId="13" fillId="4" borderId="5" xfId="0" applyFont="1" applyFill="1" applyBorder="1"/>
    <xf numFmtId="0" fontId="13" fillId="4" borderId="24" xfId="0" applyFont="1" applyFill="1" applyBorder="1"/>
    <xf numFmtId="0" fontId="3" fillId="4" borderId="2" xfId="0" applyFont="1" applyFill="1" applyBorder="1" applyAlignment="1">
      <alignment horizontal="left" vertical="center"/>
    </xf>
    <xf numFmtId="0" fontId="3" fillId="4" borderId="3" xfId="0" applyFont="1" applyFill="1" applyBorder="1"/>
    <xf numFmtId="0" fontId="3" fillId="4" borderId="3" xfId="0" applyFont="1" applyFill="1" applyBorder="1" applyAlignment="1">
      <alignment horizontal="center"/>
    </xf>
    <xf numFmtId="0" fontId="3" fillId="4" borderId="5" xfId="2" applyFont="1" applyFill="1" applyBorder="1" applyAlignment="1">
      <alignment horizontal="center" vertical="top"/>
    </xf>
    <xf numFmtId="3" fontId="3" fillId="4" borderId="5" xfId="2" applyNumberFormat="1" applyFont="1" applyFill="1" applyBorder="1"/>
    <xf numFmtId="3" fontId="3" fillId="4" borderId="3" xfId="2" applyNumberFormat="1" applyFont="1" applyFill="1" applyBorder="1" applyAlignment="1">
      <alignment horizontal="center"/>
    </xf>
    <xf numFmtId="41" fontId="13" fillId="4" borderId="25" xfId="0" applyNumberFormat="1" applyFont="1" applyFill="1" applyBorder="1"/>
    <xf numFmtId="165" fontId="3" fillId="4" borderId="3" xfId="3" applyNumberFormat="1" applyFont="1" applyFill="1" applyBorder="1"/>
    <xf numFmtId="0" fontId="13" fillId="5" borderId="3" xfId="0" quotePrefix="1" applyFont="1" applyFill="1" applyBorder="1" applyAlignment="1">
      <alignment horizontal="center" vertical="center"/>
    </xf>
    <xf numFmtId="0" fontId="13" fillId="5" borderId="4" xfId="0" applyFont="1" applyFill="1" applyBorder="1"/>
    <xf numFmtId="0" fontId="11" fillId="5" borderId="5" xfId="0" applyFont="1" applyFill="1" applyBorder="1"/>
    <xf numFmtId="0" fontId="11" fillId="5" borderId="24" xfId="0" applyFont="1" applyFill="1" applyBorder="1"/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/>
    <xf numFmtId="0" fontId="2" fillId="5" borderId="3" xfId="0" applyFont="1" applyFill="1" applyBorder="1" applyAlignment="1">
      <alignment horizontal="center"/>
    </xf>
    <xf numFmtId="0" fontId="2" fillId="5" borderId="5" xfId="2" applyFont="1" applyFill="1" applyBorder="1" applyAlignment="1">
      <alignment horizontal="center" vertical="top"/>
    </xf>
    <xf numFmtId="0" fontId="3" fillId="5" borderId="5" xfId="2" applyFont="1" applyFill="1" applyBorder="1" applyAlignment="1">
      <alignment horizontal="center" vertical="top"/>
    </xf>
    <xf numFmtId="3" fontId="3" fillId="5" borderId="5" xfId="2" applyNumberFormat="1" applyFont="1" applyFill="1" applyBorder="1"/>
    <xf numFmtId="3" fontId="2" fillId="5" borderId="3" xfId="2" applyNumberFormat="1" applyFont="1" applyFill="1" applyBorder="1" applyAlignment="1">
      <alignment horizontal="center"/>
    </xf>
    <xf numFmtId="41" fontId="11" fillId="5" borderId="25" xfId="0" applyNumberFormat="1" applyFont="1" applyFill="1" applyBorder="1"/>
    <xf numFmtId="0" fontId="13" fillId="0" borderId="4" xfId="0" applyFont="1" applyBorder="1"/>
    <xf numFmtId="3" fontId="3" fillId="0" borderId="3" xfId="2" applyNumberFormat="1" applyFont="1" applyBorder="1" applyAlignment="1">
      <alignment horizontal="center"/>
    </xf>
    <xf numFmtId="41" fontId="13" fillId="0" borderId="25" xfId="0" applyNumberFormat="1" applyFont="1" applyBorder="1"/>
    <xf numFmtId="165" fontId="3" fillId="5" borderId="3" xfId="3" applyNumberFormat="1" applyFont="1" applyFill="1" applyBorder="1"/>
    <xf numFmtId="0" fontId="13" fillId="6" borderId="4" xfId="0" applyFont="1" applyFill="1" applyBorder="1"/>
    <xf numFmtId="0" fontId="11" fillId="6" borderId="5" xfId="0" applyFont="1" applyFill="1" applyBorder="1"/>
    <xf numFmtId="0" fontId="2" fillId="6" borderId="2" xfId="0" applyFont="1" applyFill="1" applyBorder="1" applyAlignment="1">
      <alignment horizontal="left" vertical="center"/>
    </xf>
    <xf numFmtId="0" fontId="2" fillId="6" borderId="5" xfId="2" applyFont="1" applyFill="1" applyBorder="1" applyAlignment="1">
      <alignment horizontal="center" vertical="top"/>
    </xf>
    <xf numFmtId="3" fontId="2" fillId="6" borderId="3" xfId="2" applyNumberFormat="1" applyFont="1" applyFill="1" applyBorder="1" applyAlignment="1">
      <alignment horizontal="center"/>
    </xf>
    <xf numFmtId="0" fontId="11" fillId="6" borderId="3" xfId="0" quotePrefix="1" applyFont="1" applyFill="1" applyBorder="1" applyAlignment="1">
      <alignment horizontal="center" vertical="center"/>
    </xf>
    <xf numFmtId="0" fontId="11" fillId="6" borderId="24" xfId="0" applyFont="1" applyFill="1" applyBorder="1"/>
    <xf numFmtId="0" fontId="2" fillId="6" borderId="3" xfId="0" applyFont="1" applyFill="1" applyBorder="1"/>
    <xf numFmtId="0" fontId="2" fillId="6" borderId="3" xfId="0" applyFont="1" applyFill="1" applyBorder="1" applyAlignment="1">
      <alignment horizontal="center"/>
    </xf>
    <xf numFmtId="0" fontId="3" fillId="6" borderId="5" xfId="2" applyFont="1" applyFill="1" applyBorder="1" applyAlignment="1">
      <alignment horizontal="center" vertical="top"/>
    </xf>
    <xf numFmtId="3" fontId="3" fillId="6" borderId="5" xfId="2" applyNumberFormat="1" applyFont="1" applyFill="1" applyBorder="1"/>
    <xf numFmtId="41" fontId="11" fillId="6" borderId="25" xfId="0" applyNumberFormat="1" applyFont="1" applyFill="1" applyBorder="1"/>
    <xf numFmtId="165" fontId="3" fillId="6" borderId="3" xfId="3" applyNumberFormat="1" applyFont="1" applyFill="1" applyBorder="1"/>
    <xf numFmtId="0" fontId="11" fillId="7" borderId="3" xfId="0" quotePrefix="1" applyFont="1" applyFill="1" applyBorder="1" applyAlignment="1">
      <alignment horizontal="right" vertical="center"/>
    </xf>
    <xf numFmtId="0" fontId="13" fillId="7" borderId="4" xfId="0" applyFont="1" applyFill="1" applyBorder="1"/>
    <xf numFmtId="0" fontId="11" fillId="7" borderId="5" xfId="0" applyFont="1" applyFill="1" applyBorder="1"/>
    <xf numFmtId="0" fontId="11" fillId="7" borderId="29" xfId="0" applyFont="1" applyFill="1" applyBorder="1" applyAlignment="1">
      <alignment vertical="top"/>
    </xf>
    <xf numFmtId="0" fontId="2" fillId="7" borderId="2" xfId="0" applyFont="1" applyFill="1" applyBorder="1" applyAlignment="1">
      <alignment horizontal="left" vertical="center"/>
    </xf>
    <xf numFmtId="0" fontId="3" fillId="7" borderId="3" xfId="0" applyFont="1" applyFill="1" applyBorder="1"/>
    <xf numFmtId="0" fontId="3" fillId="7" borderId="3" xfId="0" applyFont="1" applyFill="1" applyBorder="1" applyAlignment="1">
      <alignment horizontal="center"/>
    </xf>
    <xf numFmtId="0" fontId="2" fillId="7" borderId="5" xfId="2" applyFont="1" applyFill="1" applyBorder="1" applyAlignment="1">
      <alignment horizontal="center" vertical="top"/>
    </xf>
    <xf numFmtId="0" fontId="3" fillId="7" borderId="5" xfId="0" applyFont="1" applyFill="1" applyBorder="1" applyAlignment="1">
      <alignment horizontal="center" vertical="top"/>
    </xf>
    <xf numFmtId="3" fontId="3" fillId="7" borderId="2" xfId="0" applyNumberFormat="1" applyFont="1" applyFill="1" applyBorder="1"/>
    <xf numFmtId="3" fontId="2" fillId="7" borderId="3" xfId="2" applyNumberFormat="1" applyFont="1" applyFill="1" applyBorder="1" applyAlignment="1">
      <alignment horizontal="center"/>
    </xf>
    <xf numFmtId="41" fontId="11" fillId="7" borderId="30" xfId="0" applyNumberFormat="1" applyFont="1" applyFill="1" applyBorder="1"/>
    <xf numFmtId="165" fontId="3" fillId="7" borderId="3" xfId="1" applyNumberFormat="1" applyFont="1" applyFill="1" applyBorder="1"/>
    <xf numFmtId="0" fontId="16" fillId="0" borderId="3" xfId="0" quotePrefix="1" applyFont="1" applyBorder="1" applyAlignment="1">
      <alignment horizontal="center" vertical="center"/>
    </xf>
    <xf numFmtId="0" fontId="16" fillId="0" borderId="4" xfId="0" applyFont="1" applyBorder="1"/>
    <xf numFmtId="0" fontId="16" fillId="0" borderId="5" xfId="0" applyFont="1" applyBorder="1"/>
    <xf numFmtId="0" fontId="16" fillId="0" borderId="24" xfId="0" applyFont="1" applyBorder="1"/>
    <xf numFmtId="0" fontId="16" fillId="0" borderId="2" xfId="0" applyFont="1" applyBorder="1" applyAlignment="1">
      <alignment horizontal="left" vertical="center"/>
    </xf>
    <xf numFmtId="0" fontId="17" fillId="0" borderId="3" xfId="0" quotePrefix="1" applyFont="1" applyBorder="1" applyAlignment="1">
      <alignment horizontal="center" vertical="center"/>
    </xf>
    <xf numFmtId="0" fontId="17" fillId="0" borderId="4" xfId="0" applyFont="1" applyBorder="1"/>
    <xf numFmtId="0" fontId="17" fillId="0" borderId="5" xfId="0" applyFont="1" applyBorder="1"/>
    <xf numFmtId="0" fontId="17" fillId="0" borderId="24" xfId="0" applyFont="1" applyBorder="1"/>
    <xf numFmtId="0" fontId="17" fillId="0" borderId="2" xfId="0" applyFont="1" applyBorder="1" applyAlignment="1">
      <alignment horizontal="left" vertical="center"/>
    </xf>
    <xf numFmtId="165" fontId="17" fillId="0" borderId="3" xfId="3" applyNumberFormat="1" applyFont="1" applyFill="1" applyBorder="1"/>
    <xf numFmtId="165" fontId="16" fillId="0" borderId="3" xfId="3" applyNumberFormat="1" applyFont="1" applyFill="1" applyBorder="1"/>
    <xf numFmtId="0" fontId="15" fillId="0" borderId="5" xfId="0" quotePrefix="1" applyFont="1" applyBorder="1" applyAlignment="1">
      <alignment horizontal="left" vertical="center"/>
    </xf>
    <xf numFmtId="0" fontId="11" fillId="0" borderId="5" xfId="0" quotePrefix="1" applyFont="1" applyBorder="1" applyAlignment="1">
      <alignment horizontal="left" vertical="center"/>
    </xf>
    <xf numFmtId="0" fontId="14" fillId="0" borderId="4" xfId="2" applyFont="1" applyBorder="1" applyAlignment="1">
      <alignment horizontal="center" vertical="top"/>
    </xf>
    <xf numFmtId="0" fontId="2" fillId="0" borderId="4" xfId="2" applyFont="1" applyBorder="1" applyAlignment="1">
      <alignment horizontal="center" vertical="top"/>
    </xf>
    <xf numFmtId="3" fontId="14" fillId="0" borderId="3" xfId="0" applyNumberFormat="1" applyFont="1" applyBorder="1" applyAlignment="1">
      <alignment horizontal="right"/>
    </xf>
    <xf numFmtId="0" fontId="6" fillId="0" borderId="3" xfId="0" applyFont="1" applyBorder="1"/>
    <xf numFmtId="165" fontId="13" fillId="0" borderId="3" xfId="0" applyNumberFormat="1" applyFont="1" applyBorder="1"/>
    <xf numFmtId="165" fontId="18" fillId="0" borderId="3" xfId="3" applyNumberFormat="1" applyFont="1" applyFill="1" applyBorder="1"/>
    <xf numFmtId="165" fontId="19" fillId="0" borderId="3" xfId="3" applyNumberFormat="1" applyFont="1" applyFill="1" applyBorder="1"/>
    <xf numFmtId="0" fontId="14" fillId="0" borderId="5" xfId="2" applyFont="1" applyBorder="1" applyAlignment="1">
      <alignment horizontal="center" vertical="top"/>
    </xf>
    <xf numFmtId="0" fontId="0" fillId="0" borderId="5" xfId="0" applyBorder="1"/>
    <xf numFmtId="0" fontId="3" fillId="0" borderId="0" xfId="0" applyFont="1" applyAlignment="1">
      <alignment horizontal="center" vertical="center"/>
    </xf>
    <xf numFmtId="0" fontId="2" fillId="0" borderId="31" xfId="0" applyFont="1" applyBorder="1" applyAlignment="1">
      <alignment horizontal="center"/>
    </xf>
    <xf numFmtId="0" fontId="20" fillId="0" borderId="31" xfId="0" applyFont="1" applyBorder="1" applyAlignment="1">
      <alignment horizontal="left"/>
    </xf>
    <xf numFmtId="0" fontId="20" fillId="0" borderId="32" xfId="0" applyFont="1" applyBorder="1" applyAlignment="1">
      <alignment horizontal="left"/>
    </xf>
    <xf numFmtId="0" fontId="20" fillId="0" borderId="33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16" fillId="0" borderId="3" xfId="0" applyFont="1" applyBorder="1" applyAlignment="1">
      <alignment horizontal="left"/>
    </xf>
    <xf numFmtId="0" fontId="16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1" fontId="11" fillId="0" borderId="2" xfId="0" applyNumberFormat="1" applyFont="1" applyBorder="1"/>
    <xf numFmtId="0" fontId="16" fillId="0" borderId="3" xfId="0" quotePrefix="1" applyFont="1" applyBorder="1" applyAlignment="1">
      <alignment horizontal="left" vertical="center"/>
    </xf>
    <xf numFmtId="3" fontId="17" fillId="0" borderId="3" xfId="2" applyNumberFormat="1" applyFont="1" applyBorder="1" applyAlignment="1">
      <alignment horizontal="center"/>
    </xf>
    <xf numFmtId="0" fontId="21" fillId="0" borderId="5" xfId="0" applyFont="1" applyBorder="1" applyAlignment="1">
      <alignment horizontal="left" vertical="top"/>
    </xf>
    <xf numFmtId="0" fontId="14" fillId="0" borderId="5" xfId="0" applyFont="1" applyBorder="1" applyAlignment="1">
      <alignment horizontal="left" vertical="top"/>
    </xf>
    <xf numFmtId="0" fontId="20" fillId="0" borderId="3" xfId="0" applyFont="1" applyBorder="1" applyAlignment="1">
      <alignment horizontal="left"/>
    </xf>
    <xf numFmtId="0" fontId="20" fillId="0" borderId="4" xfId="0" applyFont="1" applyBorder="1" applyAlignment="1">
      <alignment horizontal="left"/>
    </xf>
    <xf numFmtId="0" fontId="20" fillId="0" borderId="5" xfId="0" applyFont="1" applyBorder="1" applyAlignment="1">
      <alignment horizontal="center"/>
    </xf>
    <xf numFmtId="165" fontId="20" fillId="0" borderId="31" xfId="0" applyNumberFormat="1" applyFont="1" applyBorder="1" applyAlignment="1">
      <alignment horizontal="center"/>
    </xf>
    <xf numFmtId="1" fontId="2" fillId="0" borderId="3" xfId="3" applyNumberFormat="1" applyFont="1" applyFill="1" applyBorder="1"/>
    <xf numFmtId="41" fontId="3" fillId="4" borderId="3" xfId="5" applyFont="1" applyFill="1" applyBorder="1"/>
    <xf numFmtId="41" fontId="2" fillId="0" borderId="3" xfId="5" applyFont="1" applyFill="1" applyBorder="1"/>
    <xf numFmtId="41" fontId="3" fillId="3" borderId="3" xfId="5" applyFont="1" applyFill="1" applyBorder="1"/>
    <xf numFmtId="41" fontId="3" fillId="0" borderId="3" xfId="5" applyFont="1" applyFill="1" applyBorder="1"/>
    <xf numFmtId="0" fontId="19" fillId="3" borderId="3" xfId="0" quotePrefix="1" applyFont="1" applyFill="1" applyBorder="1" applyAlignment="1">
      <alignment horizontal="right" vertical="center"/>
    </xf>
    <xf numFmtId="41" fontId="11" fillId="0" borderId="25" xfId="5" applyFont="1" applyFill="1" applyBorder="1"/>
    <xf numFmtId="3" fontId="2" fillId="2" borderId="0" xfId="2" applyNumberFormat="1" applyFont="1" applyFill="1" applyAlignment="1">
      <alignment horizontal="center"/>
    </xf>
    <xf numFmtId="3" fontId="2" fillId="2" borderId="0" xfId="0" quotePrefix="1" applyNumberFormat="1" applyFont="1" applyFill="1" applyAlignment="1">
      <alignment horizontal="right"/>
    </xf>
    <xf numFmtId="165" fontId="2" fillId="2" borderId="0" xfId="3" applyNumberFormat="1" applyFont="1" applyFill="1" applyBorder="1"/>
    <xf numFmtId="0" fontId="10" fillId="0" borderId="0" xfId="2" applyFont="1" applyAlignment="1">
      <alignment horizontal="center" vertical="top"/>
    </xf>
    <xf numFmtId="41" fontId="11" fillId="0" borderId="21" xfId="0" applyNumberFormat="1" applyFont="1" applyBorder="1"/>
    <xf numFmtId="165" fontId="2" fillId="0" borderId="16" xfId="3" applyNumberFormat="1" applyFont="1" applyFill="1" applyBorder="1"/>
    <xf numFmtId="1" fontId="2" fillId="0" borderId="16" xfId="3" applyNumberFormat="1" applyFont="1" applyFill="1" applyBorder="1"/>
    <xf numFmtId="165" fontId="2" fillId="0" borderId="21" xfId="3" applyNumberFormat="1" applyFont="1" applyFill="1" applyBorder="1"/>
    <xf numFmtId="0" fontId="11" fillId="0" borderId="1" xfId="0" quotePrefix="1" applyFont="1" applyBorder="1" applyAlignment="1">
      <alignment horizontal="center" vertical="center"/>
    </xf>
    <xf numFmtId="0" fontId="11" fillId="0" borderId="26" xfId="0" applyFont="1" applyBorder="1"/>
    <xf numFmtId="0" fontId="11" fillId="0" borderId="27" xfId="0" applyFont="1" applyBorder="1"/>
    <xf numFmtId="0" fontId="2" fillId="0" borderId="28" xfId="0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7" xfId="2" applyFont="1" applyBorder="1" applyAlignment="1">
      <alignment horizontal="center" vertical="top"/>
    </xf>
    <xf numFmtId="0" fontId="10" fillId="0" borderId="27" xfId="2" applyFont="1" applyBorder="1" applyAlignment="1">
      <alignment horizontal="center" vertical="top"/>
    </xf>
    <xf numFmtId="3" fontId="2" fillId="0" borderId="27" xfId="2" applyNumberFormat="1" applyFont="1" applyBorder="1"/>
    <xf numFmtId="3" fontId="2" fillId="0" borderId="1" xfId="2" applyNumberFormat="1" applyFont="1" applyBorder="1" applyAlignment="1">
      <alignment horizontal="center"/>
    </xf>
    <xf numFmtId="165" fontId="2" fillId="0" borderId="1" xfId="3" applyNumberFormat="1" applyFont="1" applyFill="1" applyBorder="1"/>
    <xf numFmtId="0" fontId="11" fillId="0" borderId="12" xfId="0" quotePrefix="1" applyFont="1" applyBorder="1" applyAlignment="1">
      <alignment horizontal="center" vertical="center"/>
    </xf>
    <xf numFmtId="0" fontId="11" fillId="0" borderId="12" xfId="0" applyFont="1" applyBorder="1"/>
    <xf numFmtId="0" fontId="2" fillId="0" borderId="12" xfId="0" applyFont="1" applyBorder="1" applyAlignment="1">
      <alignment horizontal="left" vertical="center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0" fontId="2" fillId="0" borderId="12" xfId="2" applyFont="1" applyBorder="1" applyAlignment="1">
      <alignment horizontal="center" vertical="top"/>
    </xf>
    <xf numFmtId="0" fontId="10" fillId="0" borderId="12" xfId="2" applyFont="1" applyBorder="1" applyAlignment="1">
      <alignment horizontal="center" vertical="top"/>
    </xf>
    <xf numFmtId="3" fontId="2" fillId="0" borderId="12" xfId="2" applyNumberFormat="1" applyFont="1" applyBorder="1"/>
    <xf numFmtId="3" fontId="2" fillId="0" borderId="12" xfId="2" applyNumberFormat="1" applyFont="1" applyBorder="1" applyAlignment="1">
      <alignment horizontal="center"/>
    </xf>
    <xf numFmtId="41" fontId="11" fillId="0" borderId="12" xfId="0" applyNumberFormat="1" applyFont="1" applyBorder="1"/>
    <xf numFmtId="165" fontId="2" fillId="0" borderId="12" xfId="3" applyNumberFormat="1" applyFont="1" applyFill="1" applyBorder="1"/>
    <xf numFmtId="0" fontId="11" fillId="0" borderId="18" xfId="0" quotePrefix="1" applyFont="1" applyBorder="1" applyAlignment="1">
      <alignment horizontal="center" vertical="center"/>
    </xf>
    <xf numFmtId="0" fontId="11" fillId="0" borderId="18" xfId="0" applyFont="1" applyBorder="1"/>
    <xf numFmtId="0" fontId="2" fillId="0" borderId="18" xfId="0" applyFont="1" applyBorder="1" applyAlignment="1">
      <alignment horizontal="left" vertical="center"/>
    </xf>
    <xf numFmtId="0" fontId="2" fillId="0" borderId="18" xfId="0" applyFont="1" applyBorder="1"/>
    <xf numFmtId="0" fontId="2" fillId="0" borderId="18" xfId="0" applyFont="1" applyBorder="1" applyAlignment="1">
      <alignment horizontal="center"/>
    </xf>
    <xf numFmtId="0" fontId="2" fillId="0" borderId="18" xfId="2" applyFont="1" applyBorder="1" applyAlignment="1">
      <alignment horizontal="center" vertical="top"/>
    </xf>
    <xf numFmtId="0" fontId="10" fillId="0" borderId="18" xfId="2" applyFont="1" applyBorder="1" applyAlignment="1">
      <alignment horizontal="center" vertical="top"/>
    </xf>
    <xf numFmtId="3" fontId="2" fillId="0" borderId="18" xfId="2" applyNumberFormat="1" applyFont="1" applyBorder="1"/>
    <xf numFmtId="3" fontId="2" fillId="0" borderId="18" xfId="2" applyNumberFormat="1" applyFont="1" applyBorder="1" applyAlignment="1">
      <alignment horizontal="center"/>
    </xf>
    <xf numFmtId="41" fontId="11" fillId="0" borderId="18" xfId="0" applyNumberFormat="1" applyFont="1" applyBorder="1"/>
    <xf numFmtId="165" fontId="2" fillId="0" borderId="18" xfId="3" applyNumberFormat="1" applyFont="1" applyFill="1" applyBorder="1"/>
    <xf numFmtId="3" fontId="3" fillId="0" borderId="27" xfId="2" applyNumberFormat="1" applyFont="1" applyBorder="1"/>
    <xf numFmtId="3" fontId="3" fillId="0" borderId="12" xfId="2" applyNumberFormat="1" applyFont="1" applyBorder="1"/>
    <xf numFmtId="0" fontId="11" fillId="0" borderId="0" xfId="0" quotePrefix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41" fontId="11" fillId="0" borderId="0" xfId="0" applyNumberFormat="1" applyFont="1"/>
    <xf numFmtId="3" fontId="3" fillId="0" borderId="18" xfId="2" applyNumberFormat="1" applyFont="1" applyBorder="1"/>
    <xf numFmtId="41" fontId="13" fillId="0" borderId="2" xfId="0" applyNumberFormat="1" applyFont="1" applyBorder="1"/>
    <xf numFmtId="0" fontId="11" fillId="0" borderId="6" xfId="0" quotePrefix="1" applyFont="1" applyBorder="1" applyAlignment="1">
      <alignment horizontal="center" vertical="center"/>
    </xf>
    <xf numFmtId="0" fontId="13" fillId="0" borderId="7" xfId="0" applyFont="1" applyBorder="1"/>
    <xf numFmtId="0" fontId="21" fillId="0" borderId="8" xfId="0" applyFont="1" applyBorder="1" applyAlignment="1">
      <alignment horizontal="left" vertical="top"/>
    </xf>
    <xf numFmtId="0" fontId="14" fillId="0" borderId="8" xfId="0" applyFont="1" applyBorder="1" applyAlignment="1">
      <alignment horizontal="left" vertical="top"/>
    </xf>
    <xf numFmtId="0" fontId="3" fillId="0" borderId="9" xfId="0" applyFont="1" applyBorder="1" applyAlignment="1">
      <alignment horizontal="left" vertical="center"/>
    </xf>
    <xf numFmtId="0" fontId="3" fillId="0" borderId="6" xfId="0" applyFont="1" applyBorder="1"/>
    <xf numFmtId="0" fontId="3" fillId="0" borderId="6" xfId="0" applyFont="1" applyBorder="1" applyAlignment="1">
      <alignment horizontal="center"/>
    </xf>
    <xf numFmtId="0" fontId="14" fillId="0" borderId="8" xfId="2" applyFont="1" applyBorder="1" applyAlignment="1">
      <alignment horizontal="center" vertical="top"/>
    </xf>
    <xf numFmtId="3" fontId="3" fillId="0" borderId="8" xfId="2" applyNumberFormat="1" applyFont="1" applyBorder="1"/>
    <xf numFmtId="3" fontId="2" fillId="0" borderId="6" xfId="2" applyNumberFormat="1" applyFont="1" applyBorder="1" applyAlignment="1">
      <alignment horizontal="center"/>
    </xf>
    <xf numFmtId="41" fontId="2" fillId="0" borderId="6" xfId="5" applyFont="1" applyFill="1" applyBorder="1"/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165" fontId="13" fillId="0" borderId="16" xfId="0" applyNumberFormat="1" applyFont="1" applyBorder="1"/>
    <xf numFmtId="165" fontId="13" fillId="0" borderId="21" xfId="0" applyNumberFormat="1" applyFont="1" applyBorder="1"/>
    <xf numFmtId="0" fontId="13" fillId="0" borderId="27" xfId="0" applyFont="1" applyBorder="1"/>
    <xf numFmtId="0" fontId="3" fillId="0" borderId="28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14" fillId="0" borderId="26" xfId="2" applyFont="1" applyBorder="1" applyAlignment="1">
      <alignment horizontal="center" vertical="top"/>
    </xf>
    <xf numFmtId="165" fontId="3" fillId="0" borderId="1" xfId="3" applyNumberFormat="1" applyFont="1" applyFill="1" applyBorder="1"/>
    <xf numFmtId="0" fontId="13" fillId="0" borderId="12" xfId="0" applyFont="1" applyBorder="1"/>
    <xf numFmtId="0" fontId="3" fillId="0" borderId="12" xfId="0" applyFont="1" applyBorder="1" applyAlignment="1">
      <alignment horizontal="left" vertical="center"/>
    </xf>
    <xf numFmtId="0" fontId="3" fillId="0" borderId="12" xfId="0" applyFont="1" applyBorder="1"/>
    <xf numFmtId="0" fontId="3" fillId="0" borderId="12" xfId="0" applyFont="1" applyBorder="1" applyAlignment="1">
      <alignment horizontal="center"/>
    </xf>
    <xf numFmtId="0" fontId="14" fillId="0" borderId="12" xfId="2" applyFont="1" applyBorder="1" applyAlignment="1">
      <alignment horizontal="center" vertical="top"/>
    </xf>
    <xf numFmtId="3" fontId="14" fillId="0" borderId="12" xfId="0" applyNumberFormat="1" applyFont="1" applyBorder="1" applyAlignment="1">
      <alignment horizontal="right"/>
    </xf>
    <xf numFmtId="165" fontId="3" fillId="0" borderId="12" xfId="3" applyNumberFormat="1" applyFont="1" applyFill="1" applyBorder="1"/>
    <xf numFmtId="0" fontId="3" fillId="0" borderId="0" xfId="0" applyFont="1" applyAlignment="1">
      <alignment horizontal="left" vertical="center"/>
    </xf>
    <xf numFmtId="0" fontId="3" fillId="0" borderId="0" xfId="0" applyFont="1"/>
    <xf numFmtId="0" fontId="14" fillId="0" borderId="0" xfId="2" applyFont="1" applyAlignment="1">
      <alignment horizontal="center" vertical="top"/>
    </xf>
    <xf numFmtId="3" fontId="14" fillId="0" borderId="0" xfId="0" applyNumberFormat="1" applyFont="1" applyAlignment="1">
      <alignment horizontal="right"/>
    </xf>
    <xf numFmtId="165" fontId="3" fillId="0" borderId="0" xfId="3" applyNumberFormat="1" applyFont="1" applyFill="1" applyBorder="1"/>
    <xf numFmtId="0" fontId="13" fillId="0" borderId="18" xfId="0" applyFont="1" applyBorder="1"/>
    <xf numFmtId="0" fontId="3" fillId="0" borderId="18" xfId="0" applyFont="1" applyBorder="1" applyAlignment="1">
      <alignment horizontal="left" vertical="center"/>
    </xf>
    <xf numFmtId="0" fontId="3" fillId="0" borderId="18" xfId="0" applyFont="1" applyBorder="1"/>
    <xf numFmtId="0" fontId="3" fillId="0" borderId="18" xfId="0" applyFont="1" applyBorder="1" applyAlignment="1">
      <alignment horizontal="center"/>
    </xf>
    <xf numFmtId="0" fontId="14" fillId="0" borderId="18" xfId="2" applyFont="1" applyBorder="1" applyAlignment="1">
      <alignment horizontal="center" vertical="top"/>
    </xf>
    <xf numFmtId="3" fontId="14" fillId="0" borderId="18" xfId="0" applyNumberFormat="1" applyFont="1" applyBorder="1" applyAlignment="1">
      <alignment horizontal="right"/>
    </xf>
    <xf numFmtId="165" fontId="3" fillId="0" borderId="18" xfId="3" applyNumberFormat="1" applyFont="1" applyFill="1" applyBorder="1"/>
    <xf numFmtId="0" fontId="23" fillId="0" borderId="4" xfId="0" applyFont="1" applyBorder="1"/>
    <xf numFmtId="0" fontId="2" fillId="0" borderId="5" xfId="0" applyFont="1" applyBorder="1"/>
    <xf numFmtId="0" fontId="2" fillId="3" borderId="5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17" fillId="3" borderId="2" xfId="0" applyFont="1" applyFill="1" applyBorder="1" applyAlignment="1">
      <alignment horizontal="left" vertical="center"/>
    </xf>
    <xf numFmtId="3" fontId="2" fillId="3" borderId="5" xfId="2" applyNumberFormat="1" applyFont="1" applyFill="1" applyBorder="1"/>
    <xf numFmtId="41" fontId="11" fillId="3" borderId="2" xfId="0" applyNumberFormat="1" applyFont="1" applyFill="1" applyBorder="1"/>
    <xf numFmtId="3" fontId="14" fillId="0" borderId="6" xfId="0" applyNumberFormat="1" applyFont="1" applyBorder="1" applyAlignment="1">
      <alignment horizontal="right"/>
    </xf>
    <xf numFmtId="165" fontId="0" fillId="0" borderId="0" xfId="0" applyNumberFormat="1"/>
    <xf numFmtId="1" fontId="0" fillId="0" borderId="0" xfId="0" applyNumberFormat="1"/>
    <xf numFmtId="41" fontId="17" fillId="0" borderId="3" xfId="5" applyFont="1" applyFill="1" applyBorder="1"/>
    <xf numFmtId="41" fontId="17" fillId="0" borderId="3" xfId="5" applyFont="1" applyFill="1" applyBorder="1" applyAlignment="1">
      <alignment horizontal="left"/>
    </xf>
    <xf numFmtId="41" fontId="2" fillId="0" borderId="3" xfId="5" applyFont="1" applyFill="1" applyBorder="1" applyAlignment="1">
      <alignment horizontal="left"/>
    </xf>
    <xf numFmtId="165" fontId="2" fillId="0" borderId="3" xfId="5" applyNumberFormat="1" applyFont="1" applyFill="1" applyBorder="1" applyAlignment="1">
      <alignment horizontal="left"/>
    </xf>
    <xf numFmtId="0" fontId="13" fillId="8" borderId="4" xfId="0" applyFont="1" applyFill="1" applyBorder="1"/>
    <xf numFmtId="0" fontId="19" fillId="4" borderId="4" xfId="0" applyFont="1" applyFill="1" applyBorder="1"/>
    <xf numFmtId="0" fontId="19" fillId="4" borderId="5" xfId="0" applyFont="1" applyFill="1" applyBorder="1"/>
    <xf numFmtId="0" fontId="19" fillId="4" borderId="24" xfId="0" applyFont="1" applyFill="1" applyBorder="1"/>
    <xf numFmtId="0" fontId="14" fillId="2" borderId="27" xfId="0" applyFont="1" applyFill="1" applyBorder="1" applyAlignment="1">
      <alignment horizontal="left" vertical="center"/>
    </xf>
    <xf numFmtId="3" fontId="14" fillId="2" borderId="5" xfId="2" applyNumberFormat="1" applyFont="1" applyFill="1" applyBorder="1" applyAlignment="1">
      <alignment horizontal="center"/>
    </xf>
    <xf numFmtId="3" fontId="14" fillId="2" borderId="27" xfId="2" applyNumberFormat="1" applyFont="1" applyFill="1" applyBorder="1" applyAlignment="1">
      <alignment horizontal="center"/>
    </xf>
    <xf numFmtId="41" fontId="11" fillId="0" borderId="5" xfId="6" applyNumberFormat="1" applyFont="1" applyBorder="1"/>
    <xf numFmtId="41" fontId="11" fillId="0" borderId="5" xfId="0" applyNumberFormat="1" applyFont="1" applyBorder="1"/>
    <xf numFmtId="41" fontId="14" fillId="2" borderId="27" xfId="2" applyNumberFormat="1" applyFont="1" applyFill="1" applyBorder="1"/>
    <xf numFmtId="0" fontId="3" fillId="3" borderId="3" xfId="0" applyFont="1" applyFill="1" applyBorder="1" applyAlignment="1">
      <alignment horizontal="right"/>
    </xf>
    <xf numFmtId="0" fontId="3" fillId="3" borderId="3" xfId="0" quotePrefix="1" applyFont="1" applyFill="1" applyBorder="1" applyAlignment="1">
      <alignment horizontal="right" vertical="center"/>
    </xf>
    <xf numFmtId="165" fontId="19" fillId="4" borderId="3" xfId="3" applyNumberFormat="1" applyFont="1" applyFill="1" applyBorder="1"/>
    <xf numFmtId="0" fontId="19" fillId="4" borderId="2" xfId="0" applyFont="1" applyFill="1" applyBorder="1" applyAlignment="1">
      <alignment horizontal="left" vertical="center"/>
    </xf>
    <xf numFmtId="0" fontId="17" fillId="0" borderId="5" xfId="2" applyFont="1" applyBorder="1" applyAlignment="1">
      <alignment horizontal="center" vertical="top"/>
    </xf>
    <xf numFmtId="3" fontId="21" fillId="0" borderId="3" xfId="0" applyNumberFormat="1" applyFont="1" applyBorder="1" applyAlignment="1">
      <alignment horizontal="right"/>
    </xf>
    <xf numFmtId="165" fontId="3" fillId="0" borderId="3" xfId="5" applyNumberFormat="1" applyFont="1" applyFill="1" applyBorder="1"/>
    <xf numFmtId="165" fontId="19" fillId="3" borderId="3" xfId="3" applyNumberFormat="1" applyFont="1" applyFill="1" applyBorder="1"/>
    <xf numFmtId="165" fontId="17" fillId="0" borderId="3" xfId="5" applyNumberFormat="1" applyFont="1" applyFill="1" applyBorder="1" applyAlignment="1">
      <alignment horizontal="left"/>
    </xf>
    <xf numFmtId="0" fontId="3" fillId="3" borderId="4" xfId="0" applyFont="1" applyFill="1" applyBorder="1"/>
    <xf numFmtId="0" fontId="2" fillId="3" borderId="5" xfId="0" applyFont="1" applyFill="1" applyBorder="1"/>
    <xf numFmtId="41" fontId="2" fillId="3" borderId="2" xfId="0" applyNumberFormat="1" applyFont="1" applyFill="1" applyBorder="1"/>
    <xf numFmtId="0" fontId="2" fillId="0" borderId="4" xfId="0" applyFont="1" applyBorder="1"/>
    <xf numFmtId="41" fontId="2" fillId="0" borderId="2" xfId="0" applyNumberFormat="1" applyFont="1" applyBorder="1"/>
    <xf numFmtId="0" fontId="3" fillId="4" borderId="4" xfId="0" applyFont="1" applyFill="1" applyBorder="1"/>
    <xf numFmtId="0" fontId="3" fillId="4" borderId="5" xfId="0" applyFont="1" applyFill="1" applyBorder="1"/>
    <xf numFmtId="41" fontId="3" fillId="4" borderId="2" xfId="0" applyNumberFormat="1" applyFont="1" applyFill="1" applyBorder="1"/>
    <xf numFmtId="0" fontId="3" fillId="0" borderId="5" xfId="0" applyFont="1" applyBorder="1"/>
    <xf numFmtId="0" fontId="3" fillId="0" borderId="24" xfId="0" applyFont="1" applyBorder="1"/>
    <xf numFmtId="41" fontId="3" fillId="0" borderId="25" xfId="0" applyNumberFormat="1" applyFont="1" applyBorder="1"/>
    <xf numFmtId="0" fontId="2" fillId="0" borderId="24" xfId="0" applyFont="1" applyBorder="1"/>
    <xf numFmtId="41" fontId="2" fillId="0" borderId="25" xfId="0" applyNumberFormat="1" applyFont="1" applyBorder="1"/>
    <xf numFmtId="0" fontId="2" fillId="0" borderId="26" xfId="0" applyFont="1" applyBorder="1"/>
    <xf numFmtId="0" fontId="2" fillId="0" borderId="27" xfId="0" applyFont="1" applyBorder="1"/>
    <xf numFmtId="165" fontId="2" fillId="0" borderId="27" xfId="2" applyNumberFormat="1" applyFont="1" applyBorder="1" applyAlignment="1">
      <alignment horizontal="center" vertical="top"/>
    </xf>
    <xf numFmtId="41" fontId="2" fillId="0" borderId="28" xfId="0" applyNumberFormat="1" applyFont="1" applyBorder="1"/>
    <xf numFmtId="165" fontId="17" fillId="0" borderId="1" xfId="5" applyNumberFormat="1" applyFont="1" applyFill="1" applyBorder="1" applyAlignment="1">
      <alignment horizontal="left"/>
    </xf>
    <xf numFmtId="165" fontId="19" fillId="0" borderId="3" xfId="0" applyNumberFormat="1" applyFont="1" applyBorder="1"/>
    <xf numFmtId="3" fontId="21" fillId="0" borderId="1" xfId="0" applyNumberFormat="1" applyFont="1" applyBorder="1" applyAlignment="1">
      <alignment horizontal="right"/>
    </xf>
    <xf numFmtId="41" fontId="19" fillId="0" borderId="3" xfId="5" applyFont="1" applyFill="1" applyBorder="1" applyAlignment="1">
      <alignment horizontal="left"/>
    </xf>
    <xf numFmtId="3" fontId="17" fillId="0" borderId="3" xfId="0" applyNumberFormat="1" applyFont="1" applyBorder="1" applyAlignment="1">
      <alignment horizontal="right"/>
    </xf>
    <xf numFmtId="0" fontId="3" fillId="8" borderId="4" xfId="0" quotePrefix="1" applyFont="1" applyFill="1" applyBorder="1" applyAlignment="1">
      <alignment horizontal="left" vertical="center"/>
    </xf>
    <xf numFmtId="0" fontId="17" fillId="0" borderId="3" xfId="0" applyFont="1" applyBorder="1"/>
    <xf numFmtId="0" fontId="17" fillId="0" borderId="3" xfId="0" applyFont="1" applyBorder="1" applyAlignment="1">
      <alignment horizontal="center"/>
    </xf>
    <xf numFmtId="3" fontId="17" fillId="0" borderId="5" xfId="2" applyNumberFormat="1" applyFont="1" applyBorder="1"/>
    <xf numFmtId="41" fontId="17" fillId="0" borderId="2" xfId="0" applyNumberFormat="1" applyFont="1" applyBorder="1"/>
    <xf numFmtId="165" fontId="19" fillId="5" borderId="3" xfId="3" applyNumberFormat="1" applyFont="1" applyFill="1" applyBorder="1"/>
    <xf numFmtId="3" fontId="2" fillId="2" borderId="0" xfId="0" quotePrefix="1" applyNumberFormat="1" applyFont="1" applyFill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4" xfId="0" applyFont="1" applyBorder="1" applyAlignment="1">
      <alignment horizontal="left" vertical="top" wrapText="1"/>
    </xf>
    <xf numFmtId="0" fontId="2" fillId="0" borderId="25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2" fillId="0" borderId="0" xfId="0" applyFont="1" applyAlignment="1">
      <alignment horizontal="center"/>
    </xf>
  </cellXfs>
  <cellStyles count="7">
    <cellStyle name="Comma" xfId="1" builtinId="3"/>
    <cellStyle name="Comma [0]" xfId="5" builtinId="6"/>
    <cellStyle name="Comma 2" xfId="3" xr:uid="{00000000-0005-0000-0000-000001000000}"/>
    <cellStyle name="Comma 2 2" xfId="4" xr:uid="{00000000-0005-0000-0000-000002000000}"/>
    <cellStyle name="Currency" xfId="6" builtinId="4"/>
    <cellStyle name="Normal" xfId="0" builtinId="0"/>
    <cellStyle name="Normal 2" xfId="2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28575</xdr:colOff>
      <xdr:row>226</xdr:row>
      <xdr:rowOff>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30C2114-D8C9-4519-B4CA-290952940B9C}"/>
            </a:ext>
          </a:extLst>
        </xdr:cNvPr>
        <xdr:cNvSpPr txBox="1"/>
      </xdr:nvSpPr>
      <xdr:spPr>
        <a:xfrm>
          <a:off x="1158875" y="480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2</xdr:col>
      <xdr:colOff>28575</xdr:colOff>
      <xdr:row>226</xdr:row>
      <xdr:rowOff>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0918AB2-5834-49A7-A8D8-B4DA39801829}"/>
            </a:ext>
          </a:extLst>
        </xdr:cNvPr>
        <xdr:cNvSpPr txBox="1"/>
      </xdr:nvSpPr>
      <xdr:spPr>
        <a:xfrm>
          <a:off x="1158875" y="480250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AF2BC43-FE3F-413D-86A3-FECE1B653846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9260169-1652-4F95-95B8-8A815956B2B5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5A544A8-90A3-4A9F-AEF9-E1DEE400E574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C9673C6-3ED7-401E-B3DF-D21EA3EFE2E9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4C3FFD3-6350-40D1-9196-F49F206D992E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BE9BC719-17F6-4EA0-9720-C585E17E8374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58BC5DC1-00AD-40A0-BBB9-2E277C38FC0B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D8639DF-F6AF-419C-8E6B-C480D8372A3A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E783013-44F4-4223-8089-D1BCB1A40264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6380DB0-F53F-4394-A3D8-C4E7A80C7118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591CD10-3C69-4642-B570-358BAD8D231C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80B9C9C2-3B75-4319-8163-8E43C82C436D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A79AB07-7F9E-4BC1-8885-ACD690881AD4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A707E08-16D0-4C86-B504-A8F13203D851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884F104-2FE5-4053-90BB-7C7F8D178226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F5F2850B-2098-4F00-9BDE-C70756C56348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B81230E-860D-4B4F-A8F4-ECC847A6977A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ED23F02-96A9-4E48-A055-7BC94F42E92E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BA3EA0C-FB91-45A5-A5C5-6325CFB656DA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A8AE30B-CC83-4ADE-8C8C-B133CFB5E8F6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18256B55-68A7-4029-A438-0AD1B2E53253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67099C0B-A228-47E9-9179-DBA83C4C1183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53B203F6-67C4-4C9C-9C20-6EA6B15B3B51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189</xdr:row>
      <xdr:rowOff>0</xdr:rowOff>
    </xdr:from>
    <xdr:ext cx="184731" cy="264560"/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884CBF3-D446-4685-9247-5149A4ACC759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8FD258E-90B6-41D9-9449-0A482363B159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15139D2A-B463-4286-9FF0-8AFC25F04EC8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75C0AE68-3AFF-4B86-9D4A-2DDCD3B55E52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EF8F4031-7657-40D0-89B8-06A88555C159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9CFA6BFC-D095-4E24-82A7-F591A20D4306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A1AA9602-5721-4FF1-8930-A92B95DEA328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2FEB19D0-BDFD-4A31-84C5-CD65C2BA080A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71351D79-06A3-4A93-B58B-2265A2C76157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3B7BE1B6-6510-4603-A249-D5F225EFDC16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6AFDC553-A4BE-49F0-A9AA-6628EFC0F231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58527D2-7E45-43FE-A669-56280AE69556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3562038-7B2B-4580-806C-76E1019DD273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6BC1D0C4-EB77-4CC3-8E7F-2CA29152C596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DF9A1FFA-AE28-41B8-9EA0-25E190B506DA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E5B419E9-B779-4206-9900-8C3563763514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8260530E-777A-4EBA-85D4-105828795AF6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B7F0ABA0-72D2-49C0-9680-8B79E9C7B36C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DB9B039A-B515-4D9D-B31A-3A28B1FF853C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D3780FB3-2EEE-4765-9FCB-1D8A5A4EE269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0D55F15-9F00-4587-A83B-C8C73579730C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C043CA4C-6196-4D14-9C17-6681DEEB45CF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72055955-2C93-45EC-8CDE-064A291B25C6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066718E6-C372-4CC9-AFA3-F0EC659961F7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11</xdr:row>
      <xdr:rowOff>0</xdr:rowOff>
    </xdr:from>
    <xdr:ext cx="184731" cy="264560"/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A692E49C-D890-4E8D-9A63-DE8D4F391C82}"/>
            </a:ext>
          </a:extLst>
        </xdr:cNvPr>
        <xdr:cNvSpPr txBox="1"/>
      </xdr:nvSpPr>
      <xdr:spPr>
        <a:xfrm>
          <a:off x="2263775" y="23812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FA2418E6-05FD-4C73-B34E-18C7D220AC78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0178918-D4E0-415B-8625-89CEBE6915C3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D369D9A4-A9BD-4C8C-A36D-4E85E24C891C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908A19CD-862A-4880-8EFB-863F87272E99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F64C208-DE01-4AE5-848A-91606EE7B8B0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725D0D2-5765-499B-8CBA-61A4E7A28C3E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7FFDAA9A-3252-48D3-A2CA-B1DC0C0A0A12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5E58EC75-BD99-476B-97D5-502B36AA2BF7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85ADFBC5-EEDE-44F2-AD58-DCE4DF77D54F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FDD5B523-5902-43C9-AC47-E3EE70484BCE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C158B758-A596-490B-BFDB-56F8933395BA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BDB64970-6AF6-4433-BAD3-E298935773CF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2898551B-4510-4365-ACF2-B77BDADA1854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0B1766AC-7A3E-4B44-AF47-06BEB2471DBE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8672B9EE-9DD1-40F1-A39F-700DDF93603C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38D22E6-6214-4358-A679-EDAA16CE71F2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CCA4A8A6-F8E6-410F-9CE2-DC723B83D705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86039217-4E90-4F6A-90E4-0ECCFEE54665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561FC84-81C5-4674-BB4D-920CD859ED57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9B401BCA-FF43-462B-B406-6648C3BDEC70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B5856019-14BD-41C3-87ED-067FCC976CF2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A8E5860E-18B2-4F91-B6F2-8D8FF3BBFB52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652910CC-A824-44D7-B79F-0B3549BCBFAE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75" name="TextBox 74">
          <a:extLst>
            <a:ext uri="{FF2B5EF4-FFF2-40B4-BE49-F238E27FC236}">
              <a16:creationId xmlns:a16="http://schemas.microsoft.com/office/drawing/2014/main" id="{DD484908-9AA2-4E95-8A28-E475785E120D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64E6791-D885-4087-965F-A94A4680FC8D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B36C103C-144B-4F96-B504-6E94C2723460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A8DEC72D-5CB7-4218-B21F-20645A0FB155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483B4C50-BC07-4CD2-ACD5-B0A0400327EC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80" name="TextBox 79">
          <a:extLst>
            <a:ext uri="{FF2B5EF4-FFF2-40B4-BE49-F238E27FC236}">
              <a16:creationId xmlns:a16="http://schemas.microsoft.com/office/drawing/2014/main" id="{FB823B48-143B-4072-B9E3-DABEFAB9A45A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81" name="TextBox 80">
          <a:extLst>
            <a:ext uri="{FF2B5EF4-FFF2-40B4-BE49-F238E27FC236}">
              <a16:creationId xmlns:a16="http://schemas.microsoft.com/office/drawing/2014/main" id="{F7F25515-C5D5-4F93-AC3E-B701DD5F7784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FB903F4D-FF56-4202-9507-8BA960A22364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83" name="TextBox 82">
          <a:extLst>
            <a:ext uri="{FF2B5EF4-FFF2-40B4-BE49-F238E27FC236}">
              <a16:creationId xmlns:a16="http://schemas.microsoft.com/office/drawing/2014/main" id="{CBB19D54-666A-4581-AFFF-B0C8C2AC2F33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84" name="TextBox 83">
          <a:extLst>
            <a:ext uri="{FF2B5EF4-FFF2-40B4-BE49-F238E27FC236}">
              <a16:creationId xmlns:a16="http://schemas.microsoft.com/office/drawing/2014/main" id="{11BAF589-73F2-44D7-B20C-2398E53293B1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85" name="TextBox 84">
          <a:extLst>
            <a:ext uri="{FF2B5EF4-FFF2-40B4-BE49-F238E27FC236}">
              <a16:creationId xmlns:a16="http://schemas.microsoft.com/office/drawing/2014/main" id="{3A6E0885-B296-4962-9CD9-E0C817A15EB4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86" name="TextBox 85">
          <a:extLst>
            <a:ext uri="{FF2B5EF4-FFF2-40B4-BE49-F238E27FC236}">
              <a16:creationId xmlns:a16="http://schemas.microsoft.com/office/drawing/2014/main" id="{98787EA4-39A7-47EF-8203-757C499069A9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0A9CB99E-1B8A-4AC9-8909-026FB085DFFA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88" name="TextBox 87">
          <a:extLst>
            <a:ext uri="{FF2B5EF4-FFF2-40B4-BE49-F238E27FC236}">
              <a16:creationId xmlns:a16="http://schemas.microsoft.com/office/drawing/2014/main" id="{2C6435B9-9793-4B01-9DF7-438649227CAC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89" name="TextBox 88">
          <a:extLst>
            <a:ext uri="{FF2B5EF4-FFF2-40B4-BE49-F238E27FC236}">
              <a16:creationId xmlns:a16="http://schemas.microsoft.com/office/drawing/2014/main" id="{A76F9787-7669-4D37-8F53-1F89D773C2A2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90" name="TextBox 89">
          <a:extLst>
            <a:ext uri="{FF2B5EF4-FFF2-40B4-BE49-F238E27FC236}">
              <a16:creationId xmlns:a16="http://schemas.microsoft.com/office/drawing/2014/main" id="{1BC47E08-CBA4-49E9-9419-2DACD721B449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91" name="TextBox 90">
          <a:extLst>
            <a:ext uri="{FF2B5EF4-FFF2-40B4-BE49-F238E27FC236}">
              <a16:creationId xmlns:a16="http://schemas.microsoft.com/office/drawing/2014/main" id="{6C4B1722-D569-450A-BA66-83F622B9F53F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92" name="TextBox 91">
          <a:extLst>
            <a:ext uri="{FF2B5EF4-FFF2-40B4-BE49-F238E27FC236}">
              <a16:creationId xmlns:a16="http://schemas.microsoft.com/office/drawing/2014/main" id="{F7FBF7BB-DE67-44BC-AE17-F1A5E6D0BD36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93" name="TextBox 92">
          <a:extLst>
            <a:ext uri="{FF2B5EF4-FFF2-40B4-BE49-F238E27FC236}">
              <a16:creationId xmlns:a16="http://schemas.microsoft.com/office/drawing/2014/main" id="{CC6CCFF2-441A-4338-B34D-448294BE8312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94" name="TextBox 93">
          <a:extLst>
            <a:ext uri="{FF2B5EF4-FFF2-40B4-BE49-F238E27FC236}">
              <a16:creationId xmlns:a16="http://schemas.microsoft.com/office/drawing/2014/main" id="{F13B4012-98A3-4714-AE1B-506B9E19F3B9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95" name="TextBox 94">
          <a:extLst>
            <a:ext uri="{FF2B5EF4-FFF2-40B4-BE49-F238E27FC236}">
              <a16:creationId xmlns:a16="http://schemas.microsoft.com/office/drawing/2014/main" id="{0C55D627-0C84-4241-87BF-B16BC78368C3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96" name="TextBox 95">
          <a:extLst>
            <a:ext uri="{FF2B5EF4-FFF2-40B4-BE49-F238E27FC236}">
              <a16:creationId xmlns:a16="http://schemas.microsoft.com/office/drawing/2014/main" id="{39441B7C-AF5C-4033-B248-61A9ECA57755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97" name="TextBox 96">
          <a:extLst>
            <a:ext uri="{FF2B5EF4-FFF2-40B4-BE49-F238E27FC236}">
              <a16:creationId xmlns:a16="http://schemas.microsoft.com/office/drawing/2014/main" id="{2B747345-D676-4FEB-B0F0-B0437A7F6817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98" name="TextBox 97">
          <a:extLst>
            <a:ext uri="{FF2B5EF4-FFF2-40B4-BE49-F238E27FC236}">
              <a16:creationId xmlns:a16="http://schemas.microsoft.com/office/drawing/2014/main" id="{154A13A4-E3B3-45D4-9680-18FBFC730B9F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99" name="TextBox 98">
          <a:extLst>
            <a:ext uri="{FF2B5EF4-FFF2-40B4-BE49-F238E27FC236}">
              <a16:creationId xmlns:a16="http://schemas.microsoft.com/office/drawing/2014/main" id="{26247056-B370-415C-8EF2-1687D64A505A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00" name="TextBox 99">
          <a:extLst>
            <a:ext uri="{FF2B5EF4-FFF2-40B4-BE49-F238E27FC236}">
              <a16:creationId xmlns:a16="http://schemas.microsoft.com/office/drawing/2014/main" id="{FC29EBAA-818B-4FF1-90DE-42518B5C67BE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01" name="TextBox 100">
          <a:extLst>
            <a:ext uri="{FF2B5EF4-FFF2-40B4-BE49-F238E27FC236}">
              <a16:creationId xmlns:a16="http://schemas.microsoft.com/office/drawing/2014/main" id="{CE4DB22D-D2D6-47DA-9B40-5299DF29E8EF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02" name="TextBox 101">
          <a:extLst>
            <a:ext uri="{FF2B5EF4-FFF2-40B4-BE49-F238E27FC236}">
              <a16:creationId xmlns:a16="http://schemas.microsoft.com/office/drawing/2014/main" id="{8699B53A-F6F9-472A-9095-711E9C172787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03" name="TextBox 102">
          <a:extLst>
            <a:ext uri="{FF2B5EF4-FFF2-40B4-BE49-F238E27FC236}">
              <a16:creationId xmlns:a16="http://schemas.microsoft.com/office/drawing/2014/main" id="{29CCC3EC-26E8-45AE-A645-6A41E6EB79AD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04" name="TextBox 103">
          <a:extLst>
            <a:ext uri="{FF2B5EF4-FFF2-40B4-BE49-F238E27FC236}">
              <a16:creationId xmlns:a16="http://schemas.microsoft.com/office/drawing/2014/main" id="{567F6E99-38C9-4B10-B541-2502E82AFCC3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05" name="TextBox 104">
          <a:extLst>
            <a:ext uri="{FF2B5EF4-FFF2-40B4-BE49-F238E27FC236}">
              <a16:creationId xmlns:a16="http://schemas.microsoft.com/office/drawing/2014/main" id="{5F6837D9-BCDA-453F-9EBB-5301FE300DBB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06" name="TextBox 105">
          <a:extLst>
            <a:ext uri="{FF2B5EF4-FFF2-40B4-BE49-F238E27FC236}">
              <a16:creationId xmlns:a16="http://schemas.microsoft.com/office/drawing/2014/main" id="{775AE5D3-F699-4CF0-9183-EFC9A9710B0D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07" name="TextBox 106">
          <a:extLst>
            <a:ext uri="{FF2B5EF4-FFF2-40B4-BE49-F238E27FC236}">
              <a16:creationId xmlns:a16="http://schemas.microsoft.com/office/drawing/2014/main" id="{10950FAD-AC98-4646-90E8-366CCF0E7BBC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08" name="TextBox 107">
          <a:extLst>
            <a:ext uri="{FF2B5EF4-FFF2-40B4-BE49-F238E27FC236}">
              <a16:creationId xmlns:a16="http://schemas.microsoft.com/office/drawing/2014/main" id="{B3645CAB-3324-4008-9328-2392BD8B13DE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09" name="TextBox 108">
          <a:extLst>
            <a:ext uri="{FF2B5EF4-FFF2-40B4-BE49-F238E27FC236}">
              <a16:creationId xmlns:a16="http://schemas.microsoft.com/office/drawing/2014/main" id="{CE15708E-086D-469B-83A2-B09145060D72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10" name="TextBox 109">
          <a:extLst>
            <a:ext uri="{FF2B5EF4-FFF2-40B4-BE49-F238E27FC236}">
              <a16:creationId xmlns:a16="http://schemas.microsoft.com/office/drawing/2014/main" id="{F6617447-6F2C-499D-ADD6-4BFCC5270A24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197</xdr:row>
      <xdr:rowOff>0</xdr:rowOff>
    </xdr:from>
    <xdr:ext cx="184731" cy="264560"/>
    <xdr:sp macro="" textlink="">
      <xdr:nvSpPr>
        <xdr:cNvPr id="111" name="TextBox 110">
          <a:extLst>
            <a:ext uri="{FF2B5EF4-FFF2-40B4-BE49-F238E27FC236}">
              <a16:creationId xmlns:a16="http://schemas.microsoft.com/office/drawing/2014/main" id="{7DEA2694-B56B-4816-ADA8-9E863D1D23CB}"/>
            </a:ext>
          </a:extLst>
        </xdr:cNvPr>
        <xdr:cNvSpPr txBox="1"/>
      </xdr:nvSpPr>
      <xdr:spPr>
        <a:xfrm>
          <a:off x="2263775" y="427101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198</xdr:row>
      <xdr:rowOff>0</xdr:rowOff>
    </xdr:from>
    <xdr:ext cx="184731" cy="264560"/>
    <xdr:sp macro="" textlink="">
      <xdr:nvSpPr>
        <xdr:cNvPr id="112" name="TextBox 111">
          <a:extLst>
            <a:ext uri="{FF2B5EF4-FFF2-40B4-BE49-F238E27FC236}">
              <a16:creationId xmlns:a16="http://schemas.microsoft.com/office/drawing/2014/main" id="{1D459873-A449-4569-807D-825A7B9A2E88}"/>
            </a:ext>
          </a:extLst>
        </xdr:cNvPr>
        <xdr:cNvSpPr txBox="1"/>
      </xdr:nvSpPr>
      <xdr:spPr>
        <a:xfrm>
          <a:off x="2263775" y="429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198</xdr:row>
      <xdr:rowOff>0</xdr:rowOff>
    </xdr:from>
    <xdr:ext cx="184731" cy="264560"/>
    <xdr:sp macro="" textlink="">
      <xdr:nvSpPr>
        <xdr:cNvPr id="113" name="TextBox 112">
          <a:extLst>
            <a:ext uri="{FF2B5EF4-FFF2-40B4-BE49-F238E27FC236}">
              <a16:creationId xmlns:a16="http://schemas.microsoft.com/office/drawing/2014/main" id="{763910B2-9E8C-473F-ACA0-7571A05AC2F0}"/>
            </a:ext>
          </a:extLst>
        </xdr:cNvPr>
        <xdr:cNvSpPr txBox="1"/>
      </xdr:nvSpPr>
      <xdr:spPr>
        <a:xfrm>
          <a:off x="2263775" y="429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198</xdr:row>
      <xdr:rowOff>0</xdr:rowOff>
    </xdr:from>
    <xdr:ext cx="184731" cy="264560"/>
    <xdr:sp macro="" textlink="">
      <xdr:nvSpPr>
        <xdr:cNvPr id="114" name="TextBox 113">
          <a:extLst>
            <a:ext uri="{FF2B5EF4-FFF2-40B4-BE49-F238E27FC236}">
              <a16:creationId xmlns:a16="http://schemas.microsoft.com/office/drawing/2014/main" id="{D640BDC8-B8DB-4239-B69D-53FD54DB3912}"/>
            </a:ext>
          </a:extLst>
        </xdr:cNvPr>
        <xdr:cNvSpPr txBox="1"/>
      </xdr:nvSpPr>
      <xdr:spPr>
        <a:xfrm>
          <a:off x="2263775" y="429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198</xdr:row>
      <xdr:rowOff>0</xdr:rowOff>
    </xdr:from>
    <xdr:ext cx="184731" cy="264560"/>
    <xdr:sp macro="" textlink="">
      <xdr:nvSpPr>
        <xdr:cNvPr id="115" name="TextBox 114">
          <a:extLst>
            <a:ext uri="{FF2B5EF4-FFF2-40B4-BE49-F238E27FC236}">
              <a16:creationId xmlns:a16="http://schemas.microsoft.com/office/drawing/2014/main" id="{3C93B329-F18F-4098-85ED-9CEC6F79A298}"/>
            </a:ext>
          </a:extLst>
        </xdr:cNvPr>
        <xdr:cNvSpPr txBox="1"/>
      </xdr:nvSpPr>
      <xdr:spPr>
        <a:xfrm>
          <a:off x="2263775" y="429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198</xdr:row>
      <xdr:rowOff>0</xdr:rowOff>
    </xdr:from>
    <xdr:ext cx="184731" cy="264560"/>
    <xdr:sp macro="" textlink="">
      <xdr:nvSpPr>
        <xdr:cNvPr id="116" name="TextBox 115">
          <a:extLst>
            <a:ext uri="{FF2B5EF4-FFF2-40B4-BE49-F238E27FC236}">
              <a16:creationId xmlns:a16="http://schemas.microsoft.com/office/drawing/2014/main" id="{69B1DF4B-8F0E-4B38-915B-8B00AA1F4B53}"/>
            </a:ext>
          </a:extLst>
        </xdr:cNvPr>
        <xdr:cNvSpPr txBox="1"/>
      </xdr:nvSpPr>
      <xdr:spPr>
        <a:xfrm>
          <a:off x="2263775" y="429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198</xdr:row>
      <xdr:rowOff>0</xdr:rowOff>
    </xdr:from>
    <xdr:ext cx="184731" cy="264560"/>
    <xdr:sp macro="" textlink="">
      <xdr:nvSpPr>
        <xdr:cNvPr id="117" name="TextBox 116">
          <a:extLst>
            <a:ext uri="{FF2B5EF4-FFF2-40B4-BE49-F238E27FC236}">
              <a16:creationId xmlns:a16="http://schemas.microsoft.com/office/drawing/2014/main" id="{A3BC3F4D-3DB9-4CD4-B253-387A65289C6A}"/>
            </a:ext>
          </a:extLst>
        </xdr:cNvPr>
        <xdr:cNvSpPr txBox="1"/>
      </xdr:nvSpPr>
      <xdr:spPr>
        <a:xfrm>
          <a:off x="2263775" y="429101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18" name="TextBox 117">
          <a:extLst>
            <a:ext uri="{FF2B5EF4-FFF2-40B4-BE49-F238E27FC236}">
              <a16:creationId xmlns:a16="http://schemas.microsoft.com/office/drawing/2014/main" id="{1AD8093D-36BE-4987-BEAA-2B292ABD8AEE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19" name="TextBox 118">
          <a:extLst>
            <a:ext uri="{FF2B5EF4-FFF2-40B4-BE49-F238E27FC236}">
              <a16:creationId xmlns:a16="http://schemas.microsoft.com/office/drawing/2014/main" id="{C10F9FF3-4298-4BB8-8140-9375F5C402B6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20" name="TextBox 119">
          <a:extLst>
            <a:ext uri="{FF2B5EF4-FFF2-40B4-BE49-F238E27FC236}">
              <a16:creationId xmlns:a16="http://schemas.microsoft.com/office/drawing/2014/main" id="{73727449-AD29-4A75-A1FC-F804F15F83EC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21" name="TextBox 120">
          <a:extLst>
            <a:ext uri="{FF2B5EF4-FFF2-40B4-BE49-F238E27FC236}">
              <a16:creationId xmlns:a16="http://schemas.microsoft.com/office/drawing/2014/main" id="{92DF025A-C0B1-43CE-A538-B1FF9450C3B4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22" name="TextBox 121">
          <a:extLst>
            <a:ext uri="{FF2B5EF4-FFF2-40B4-BE49-F238E27FC236}">
              <a16:creationId xmlns:a16="http://schemas.microsoft.com/office/drawing/2014/main" id="{96ADDE1E-D91C-4DF9-9A1B-D0703619D9A0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23" name="TextBox 122">
          <a:extLst>
            <a:ext uri="{FF2B5EF4-FFF2-40B4-BE49-F238E27FC236}">
              <a16:creationId xmlns:a16="http://schemas.microsoft.com/office/drawing/2014/main" id="{BF1BC080-FFD6-4399-B479-A1EEF6DF68DA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24" name="TextBox 123">
          <a:extLst>
            <a:ext uri="{FF2B5EF4-FFF2-40B4-BE49-F238E27FC236}">
              <a16:creationId xmlns:a16="http://schemas.microsoft.com/office/drawing/2014/main" id="{202C1434-9B30-443B-8176-779AAECF38EB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25" name="TextBox 124">
          <a:extLst>
            <a:ext uri="{FF2B5EF4-FFF2-40B4-BE49-F238E27FC236}">
              <a16:creationId xmlns:a16="http://schemas.microsoft.com/office/drawing/2014/main" id="{9F331468-2139-4E09-81FC-A4961A3818B3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26" name="TextBox 125">
          <a:extLst>
            <a:ext uri="{FF2B5EF4-FFF2-40B4-BE49-F238E27FC236}">
              <a16:creationId xmlns:a16="http://schemas.microsoft.com/office/drawing/2014/main" id="{2CA1F3F2-68E4-44B2-986F-CA7733575F04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27" name="TextBox 126">
          <a:extLst>
            <a:ext uri="{FF2B5EF4-FFF2-40B4-BE49-F238E27FC236}">
              <a16:creationId xmlns:a16="http://schemas.microsoft.com/office/drawing/2014/main" id="{5965F4DB-C3C1-4CB6-9CF8-58530FF53385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28" name="TextBox 127">
          <a:extLst>
            <a:ext uri="{FF2B5EF4-FFF2-40B4-BE49-F238E27FC236}">
              <a16:creationId xmlns:a16="http://schemas.microsoft.com/office/drawing/2014/main" id="{6EB26669-0DEE-44CA-8BCC-6B8EE689EAE7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29" name="TextBox 128">
          <a:extLst>
            <a:ext uri="{FF2B5EF4-FFF2-40B4-BE49-F238E27FC236}">
              <a16:creationId xmlns:a16="http://schemas.microsoft.com/office/drawing/2014/main" id="{51FC9093-95E3-46D1-85CD-14E10B158A14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30" name="TextBox 129">
          <a:extLst>
            <a:ext uri="{FF2B5EF4-FFF2-40B4-BE49-F238E27FC236}">
              <a16:creationId xmlns:a16="http://schemas.microsoft.com/office/drawing/2014/main" id="{53BB9FBA-717D-49C4-B298-125EA8FA0EB4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31" name="TextBox 130">
          <a:extLst>
            <a:ext uri="{FF2B5EF4-FFF2-40B4-BE49-F238E27FC236}">
              <a16:creationId xmlns:a16="http://schemas.microsoft.com/office/drawing/2014/main" id="{242539FF-1181-497F-9CB6-52134AACCA2E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32" name="TextBox 131">
          <a:extLst>
            <a:ext uri="{FF2B5EF4-FFF2-40B4-BE49-F238E27FC236}">
              <a16:creationId xmlns:a16="http://schemas.microsoft.com/office/drawing/2014/main" id="{65D37A56-586B-4A84-961B-11AECE83D1F3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33" name="TextBox 132">
          <a:extLst>
            <a:ext uri="{FF2B5EF4-FFF2-40B4-BE49-F238E27FC236}">
              <a16:creationId xmlns:a16="http://schemas.microsoft.com/office/drawing/2014/main" id="{70C00B42-87A1-4B92-A567-5A3E0B4F7719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34" name="TextBox 133">
          <a:extLst>
            <a:ext uri="{FF2B5EF4-FFF2-40B4-BE49-F238E27FC236}">
              <a16:creationId xmlns:a16="http://schemas.microsoft.com/office/drawing/2014/main" id="{05E1FD6C-A03D-4D8B-8A97-F89A8DEC5C06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35" name="TextBox 134">
          <a:extLst>
            <a:ext uri="{FF2B5EF4-FFF2-40B4-BE49-F238E27FC236}">
              <a16:creationId xmlns:a16="http://schemas.microsoft.com/office/drawing/2014/main" id="{F4F4D619-3220-49AA-A5C8-C3309C0CCC99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36" name="TextBox 135">
          <a:extLst>
            <a:ext uri="{FF2B5EF4-FFF2-40B4-BE49-F238E27FC236}">
              <a16:creationId xmlns:a16="http://schemas.microsoft.com/office/drawing/2014/main" id="{C51833BB-9B99-4F0C-9DD4-10A437BBA101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37" name="TextBox 136">
          <a:extLst>
            <a:ext uri="{FF2B5EF4-FFF2-40B4-BE49-F238E27FC236}">
              <a16:creationId xmlns:a16="http://schemas.microsoft.com/office/drawing/2014/main" id="{D6D9A26C-F1E6-483C-828D-50EC83FCF553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38" name="TextBox 137">
          <a:extLst>
            <a:ext uri="{FF2B5EF4-FFF2-40B4-BE49-F238E27FC236}">
              <a16:creationId xmlns:a16="http://schemas.microsoft.com/office/drawing/2014/main" id="{CEE96DE1-FEDA-4E68-BBB2-EB953E3083B3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39" name="TextBox 138">
          <a:extLst>
            <a:ext uri="{FF2B5EF4-FFF2-40B4-BE49-F238E27FC236}">
              <a16:creationId xmlns:a16="http://schemas.microsoft.com/office/drawing/2014/main" id="{207F9BF5-1BBB-4AC4-81B0-8C848E4BE1F0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40" name="TextBox 139">
          <a:extLst>
            <a:ext uri="{FF2B5EF4-FFF2-40B4-BE49-F238E27FC236}">
              <a16:creationId xmlns:a16="http://schemas.microsoft.com/office/drawing/2014/main" id="{7BB428E7-48A1-4A26-B401-9F3E40D93D0C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41" name="TextBox 140">
          <a:extLst>
            <a:ext uri="{FF2B5EF4-FFF2-40B4-BE49-F238E27FC236}">
              <a16:creationId xmlns:a16="http://schemas.microsoft.com/office/drawing/2014/main" id="{85154DC6-156D-4597-B087-95733BC03E8A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42" name="TextBox 141">
          <a:extLst>
            <a:ext uri="{FF2B5EF4-FFF2-40B4-BE49-F238E27FC236}">
              <a16:creationId xmlns:a16="http://schemas.microsoft.com/office/drawing/2014/main" id="{830E87AD-7B5A-4434-8704-280268E5337D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43" name="TextBox 142">
          <a:extLst>
            <a:ext uri="{FF2B5EF4-FFF2-40B4-BE49-F238E27FC236}">
              <a16:creationId xmlns:a16="http://schemas.microsoft.com/office/drawing/2014/main" id="{A87E36F6-B74A-47B2-8F92-035545A32B4C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44" name="TextBox 143">
          <a:extLst>
            <a:ext uri="{FF2B5EF4-FFF2-40B4-BE49-F238E27FC236}">
              <a16:creationId xmlns:a16="http://schemas.microsoft.com/office/drawing/2014/main" id="{2C19A3B7-46A8-4425-941F-5FEE9D1F8589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45" name="TextBox 144">
          <a:extLst>
            <a:ext uri="{FF2B5EF4-FFF2-40B4-BE49-F238E27FC236}">
              <a16:creationId xmlns:a16="http://schemas.microsoft.com/office/drawing/2014/main" id="{A6049E2B-5C16-4021-ABD1-EB8ABAD192BF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46" name="TextBox 145">
          <a:extLst>
            <a:ext uri="{FF2B5EF4-FFF2-40B4-BE49-F238E27FC236}">
              <a16:creationId xmlns:a16="http://schemas.microsoft.com/office/drawing/2014/main" id="{9D026BBB-6647-4031-97DF-D74C7ECED798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47" name="TextBox 146">
          <a:extLst>
            <a:ext uri="{FF2B5EF4-FFF2-40B4-BE49-F238E27FC236}">
              <a16:creationId xmlns:a16="http://schemas.microsoft.com/office/drawing/2014/main" id="{A8A83357-3CD4-4F3E-BFAD-7F30E0EBD8E7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48" name="TextBox 147">
          <a:extLst>
            <a:ext uri="{FF2B5EF4-FFF2-40B4-BE49-F238E27FC236}">
              <a16:creationId xmlns:a16="http://schemas.microsoft.com/office/drawing/2014/main" id="{5C074798-9D42-4C65-900A-51A609FFD8AF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49" name="TextBox 148">
          <a:extLst>
            <a:ext uri="{FF2B5EF4-FFF2-40B4-BE49-F238E27FC236}">
              <a16:creationId xmlns:a16="http://schemas.microsoft.com/office/drawing/2014/main" id="{97D584FA-D895-4318-9CEC-C9DD87D9DCBA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50" name="TextBox 149">
          <a:extLst>
            <a:ext uri="{FF2B5EF4-FFF2-40B4-BE49-F238E27FC236}">
              <a16:creationId xmlns:a16="http://schemas.microsoft.com/office/drawing/2014/main" id="{6DBE7D8C-FA33-4532-8230-4565A0697728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51" name="TextBox 150">
          <a:extLst>
            <a:ext uri="{FF2B5EF4-FFF2-40B4-BE49-F238E27FC236}">
              <a16:creationId xmlns:a16="http://schemas.microsoft.com/office/drawing/2014/main" id="{39EE9D69-8FEB-479D-8437-432A5BD25901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52" name="TextBox 151">
          <a:extLst>
            <a:ext uri="{FF2B5EF4-FFF2-40B4-BE49-F238E27FC236}">
              <a16:creationId xmlns:a16="http://schemas.microsoft.com/office/drawing/2014/main" id="{44647B3E-3C41-44AC-B140-0383DF3ACCA1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53" name="TextBox 152">
          <a:extLst>
            <a:ext uri="{FF2B5EF4-FFF2-40B4-BE49-F238E27FC236}">
              <a16:creationId xmlns:a16="http://schemas.microsoft.com/office/drawing/2014/main" id="{ED0FB5B5-811E-4B6A-AAB5-94AF39635346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54" name="TextBox 153">
          <a:extLst>
            <a:ext uri="{FF2B5EF4-FFF2-40B4-BE49-F238E27FC236}">
              <a16:creationId xmlns:a16="http://schemas.microsoft.com/office/drawing/2014/main" id="{EC649F84-EC89-4D32-BB68-EDAFDE8F9A12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55" name="TextBox 154">
          <a:extLst>
            <a:ext uri="{FF2B5EF4-FFF2-40B4-BE49-F238E27FC236}">
              <a16:creationId xmlns:a16="http://schemas.microsoft.com/office/drawing/2014/main" id="{266B7353-B011-4A47-9D59-748C4279E61C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56" name="TextBox 155">
          <a:extLst>
            <a:ext uri="{FF2B5EF4-FFF2-40B4-BE49-F238E27FC236}">
              <a16:creationId xmlns:a16="http://schemas.microsoft.com/office/drawing/2014/main" id="{27810DD0-269C-4CC2-9F2C-B8D37DB7763D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57" name="TextBox 156">
          <a:extLst>
            <a:ext uri="{FF2B5EF4-FFF2-40B4-BE49-F238E27FC236}">
              <a16:creationId xmlns:a16="http://schemas.microsoft.com/office/drawing/2014/main" id="{C74E7695-4A4B-4BE7-8C86-95E68E95E729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58" name="TextBox 157">
          <a:extLst>
            <a:ext uri="{FF2B5EF4-FFF2-40B4-BE49-F238E27FC236}">
              <a16:creationId xmlns:a16="http://schemas.microsoft.com/office/drawing/2014/main" id="{90C86E45-733E-449C-B3D9-ECE0BEBD1EDC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59" name="TextBox 158">
          <a:extLst>
            <a:ext uri="{FF2B5EF4-FFF2-40B4-BE49-F238E27FC236}">
              <a16:creationId xmlns:a16="http://schemas.microsoft.com/office/drawing/2014/main" id="{377FF7A2-4749-4EBA-9995-A9A7D6D4CB99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60" name="TextBox 159">
          <a:extLst>
            <a:ext uri="{FF2B5EF4-FFF2-40B4-BE49-F238E27FC236}">
              <a16:creationId xmlns:a16="http://schemas.microsoft.com/office/drawing/2014/main" id="{781683C3-ABD7-4536-8BA2-0C496A00E5D6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61" name="TextBox 160">
          <a:extLst>
            <a:ext uri="{FF2B5EF4-FFF2-40B4-BE49-F238E27FC236}">
              <a16:creationId xmlns:a16="http://schemas.microsoft.com/office/drawing/2014/main" id="{65630D6B-3608-4E3E-B74B-C8C9DDE296DB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62" name="TextBox 161">
          <a:extLst>
            <a:ext uri="{FF2B5EF4-FFF2-40B4-BE49-F238E27FC236}">
              <a16:creationId xmlns:a16="http://schemas.microsoft.com/office/drawing/2014/main" id="{07AA3DC3-F4B7-480C-983A-460A95F5C9D9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63" name="TextBox 162">
          <a:extLst>
            <a:ext uri="{FF2B5EF4-FFF2-40B4-BE49-F238E27FC236}">
              <a16:creationId xmlns:a16="http://schemas.microsoft.com/office/drawing/2014/main" id="{CDC617BA-895A-4DF5-A53D-366B69F98160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64" name="TextBox 163">
          <a:extLst>
            <a:ext uri="{FF2B5EF4-FFF2-40B4-BE49-F238E27FC236}">
              <a16:creationId xmlns:a16="http://schemas.microsoft.com/office/drawing/2014/main" id="{D2971A38-3ED6-4F36-8281-69174FCED540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65" name="TextBox 164">
          <a:extLst>
            <a:ext uri="{FF2B5EF4-FFF2-40B4-BE49-F238E27FC236}">
              <a16:creationId xmlns:a16="http://schemas.microsoft.com/office/drawing/2014/main" id="{8C34208F-FD0F-4F23-A0A2-82BF6FA90F97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66" name="TextBox 165">
          <a:extLst>
            <a:ext uri="{FF2B5EF4-FFF2-40B4-BE49-F238E27FC236}">
              <a16:creationId xmlns:a16="http://schemas.microsoft.com/office/drawing/2014/main" id="{0407908A-B815-4DA3-A298-04D297E1B577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67" name="TextBox 166">
          <a:extLst>
            <a:ext uri="{FF2B5EF4-FFF2-40B4-BE49-F238E27FC236}">
              <a16:creationId xmlns:a16="http://schemas.microsoft.com/office/drawing/2014/main" id="{B3EF066C-C388-4F8D-919D-BF6881AB9B84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68" name="TextBox 167">
          <a:extLst>
            <a:ext uri="{FF2B5EF4-FFF2-40B4-BE49-F238E27FC236}">
              <a16:creationId xmlns:a16="http://schemas.microsoft.com/office/drawing/2014/main" id="{8CE72BD6-B3A6-471B-BBB8-D845C1E4BFC4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69" name="TextBox 168">
          <a:extLst>
            <a:ext uri="{FF2B5EF4-FFF2-40B4-BE49-F238E27FC236}">
              <a16:creationId xmlns:a16="http://schemas.microsoft.com/office/drawing/2014/main" id="{5F476F5A-8280-44B7-85A6-335678A14543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70" name="TextBox 169">
          <a:extLst>
            <a:ext uri="{FF2B5EF4-FFF2-40B4-BE49-F238E27FC236}">
              <a16:creationId xmlns:a16="http://schemas.microsoft.com/office/drawing/2014/main" id="{6133B4F6-8B91-4B07-B78E-C879B4D534EB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71" name="TextBox 170">
          <a:extLst>
            <a:ext uri="{FF2B5EF4-FFF2-40B4-BE49-F238E27FC236}">
              <a16:creationId xmlns:a16="http://schemas.microsoft.com/office/drawing/2014/main" id="{0324DD4B-2975-4A09-BB73-0D7BB07BD84F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72" name="TextBox 171">
          <a:extLst>
            <a:ext uri="{FF2B5EF4-FFF2-40B4-BE49-F238E27FC236}">
              <a16:creationId xmlns:a16="http://schemas.microsoft.com/office/drawing/2014/main" id="{BF4D87C3-56DD-4A49-96E7-42072D76B68F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73" name="TextBox 172">
          <a:extLst>
            <a:ext uri="{FF2B5EF4-FFF2-40B4-BE49-F238E27FC236}">
              <a16:creationId xmlns:a16="http://schemas.microsoft.com/office/drawing/2014/main" id="{74429D4D-29BB-484F-9653-41C3DE45B7EE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74" name="TextBox 173">
          <a:extLst>
            <a:ext uri="{FF2B5EF4-FFF2-40B4-BE49-F238E27FC236}">
              <a16:creationId xmlns:a16="http://schemas.microsoft.com/office/drawing/2014/main" id="{47FF39DD-3AF0-4132-B947-8BC6FB23AFCE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75" name="TextBox 174">
          <a:extLst>
            <a:ext uri="{FF2B5EF4-FFF2-40B4-BE49-F238E27FC236}">
              <a16:creationId xmlns:a16="http://schemas.microsoft.com/office/drawing/2014/main" id="{9F2969AA-9A37-4091-8ADA-726C471D7850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76" name="TextBox 175">
          <a:extLst>
            <a:ext uri="{FF2B5EF4-FFF2-40B4-BE49-F238E27FC236}">
              <a16:creationId xmlns:a16="http://schemas.microsoft.com/office/drawing/2014/main" id="{077C5B1D-1ADE-4BBE-81DA-F1C363E6B5DA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201</xdr:row>
      <xdr:rowOff>0</xdr:rowOff>
    </xdr:from>
    <xdr:ext cx="184731" cy="264560"/>
    <xdr:sp macro="" textlink="">
      <xdr:nvSpPr>
        <xdr:cNvPr id="177" name="TextBox 176">
          <a:extLst>
            <a:ext uri="{FF2B5EF4-FFF2-40B4-BE49-F238E27FC236}">
              <a16:creationId xmlns:a16="http://schemas.microsoft.com/office/drawing/2014/main" id="{A5D4A721-1021-4DDE-9BC3-5AF50D5BD7A1}"/>
            </a:ext>
          </a:extLst>
        </xdr:cNvPr>
        <xdr:cNvSpPr txBox="1"/>
      </xdr:nvSpPr>
      <xdr:spPr>
        <a:xfrm>
          <a:off x="2263775" y="411099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202</xdr:row>
      <xdr:rowOff>0</xdr:rowOff>
    </xdr:from>
    <xdr:ext cx="184731" cy="264560"/>
    <xdr:sp macro="" textlink="">
      <xdr:nvSpPr>
        <xdr:cNvPr id="178" name="TextBox 177">
          <a:extLst>
            <a:ext uri="{FF2B5EF4-FFF2-40B4-BE49-F238E27FC236}">
              <a16:creationId xmlns:a16="http://schemas.microsoft.com/office/drawing/2014/main" id="{7E46B743-F2A5-4802-8820-C17DF3BB2228}"/>
            </a:ext>
          </a:extLst>
        </xdr:cNvPr>
        <xdr:cNvSpPr txBox="1"/>
      </xdr:nvSpPr>
      <xdr:spPr>
        <a:xfrm>
          <a:off x="2263775" y="41309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202</xdr:row>
      <xdr:rowOff>0</xdr:rowOff>
    </xdr:from>
    <xdr:ext cx="184731" cy="264560"/>
    <xdr:sp macro="" textlink="">
      <xdr:nvSpPr>
        <xdr:cNvPr id="179" name="TextBox 178">
          <a:extLst>
            <a:ext uri="{FF2B5EF4-FFF2-40B4-BE49-F238E27FC236}">
              <a16:creationId xmlns:a16="http://schemas.microsoft.com/office/drawing/2014/main" id="{B1EF9171-67EF-4E8D-B79E-1A8790A3AACE}"/>
            </a:ext>
          </a:extLst>
        </xdr:cNvPr>
        <xdr:cNvSpPr txBox="1"/>
      </xdr:nvSpPr>
      <xdr:spPr>
        <a:xfrm>
          <a:off x="2263775" y="41309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202</xdr:row>
      <xdr:rowOff>0</xdr:rowOff>
    </xdr:from>
    <xdr:ext cx="184731" cy="264560"/>
    <xdr:sp macro="" textlink="">
      <xdr:nvSpPr>
        <xdr:cNvPr id="180" name="TextBox 179">
          <a:extLst>
            <a:ext uri="{FF2B5EF4-FFF2-40B4-BE49-F238E27FC236}">
              <a16:creationId xmlns:a16="http://schemas.microsoft.com/office/drawing/2014/main" id="{91F6ABA4-CE1F-453A-A24F-417BB06D4388}"/>
            </a:ext>
          </a:extLst>
        </xdr:cNvPr>
        <xdr:cNvSpPr txBox="1"/>
      </xdr:nvSpPr>
      <xdr:spPr>
        <a:xfrm>
          <a:off x="2263775" y="41309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202</xdr:row>
      <xdr:rowOff>0</xdr:rowOff>
    </xdr:from>
    <xdr:ext cx="184731" cy="264560"/>
    <xdr:sp macro="" textlink="">
      <xdr:nvSpPr>
        <xdr:cNvPr id="181" name="TextBox 180">
          <a:extLst>
            <a:ext uri="{FF2B5EF4-FFF2-40B4-BE49-F238E27FC236}">
              <a16:creationId xmlns:a16="http://schemas.microsoft.com/office/drawing/2014/main" id="{0C2AA44C-E6AE-42B7-BD3C-46AEA4382EBB}"/>
            </a:ext>
          </a:extLst>
        </xdr:cNvPr>
        <xdr:cNvSpPr txBox="1"/>
      </xdr:nvSpPr>
      <xdr:spPr>
        <a:xfrm>
          <a:off x="2263775" y="41309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202</xdr:row>
      <xdr:rowOff>0</xdr:rowOff>
    </xdr:from>
    <xdr:ext cx="184731" cy="264560"/>
    <xdr:sp macro="" textlink="">
      <xdr:nvSpPr>
        <xdr:cNvPr id="182" name="TextBox 181">
          <a:extLst>
            <a:ext uri="{FF2B5EF4-FFF2-40B4-BE49-F238E27FC236}">
              <a16:creationId xmlns:a16="http://schemas.microsoft.com/office/drawing/2014/main" id="{D39B3AD3-CBEC-4359-97A4-FA79C1E27DA7}"/>
            </a:ext>
          </a:extLst>
        </xdr:cNvPr>
        <xdr:cNvSpPr txBox="1"/>
      </xdr:nvSpPr>
      <xdr:spPr>
        <a:xfrm>
          <a:off x="2263775" y="41309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4</xdr:col>
      <xdr:colOff>28575</xdr:colOff>
      <xdr:row>202</xdr:row>
      <xdr:rowOff>0</xdr:rowOff>
    </xdr:from>
    <xdr:ext cx="184731" cy="264560"/>
    <xdr:sp macro="" textlink="">
      <xdr:nvSpPr>
        <xdr:cNvPr id="183" name="TextBox 182">
          <a:extLst>
            <a:ext uri="{FF2B5EF4-FFF2-40B4-BE49-F238E27FC236}">
              <a16:creationId xmlns:a16="http://schemas.microsoft.com/office/drawing/2014/main" id="{895FDB54-D425-4B00-9B67-3E175704E2EE}"/>
            </a:ext>
          </a:extLst>
        </xdr:cNvPr>
        <xdr:cNvSpPr txBox="1"/>
      </xdr:nvSpPr>
      <xdr:spPr>
        <a:xfrm>
          <a:off x="2263775" y="413099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625CA-A9D4-45C1-A72C-FCA07325477D}">
  <dimension ref="A1:AC230"/>
  <sheetViews>
    <sheetView showGridLines="0" tabSelected="1" view="pageBreakPreview" topLeftCell="E1" zoomScale="70" zoomScaleNormal="100" zoomScaleSheetLayoutView="70" workbookViewId="0">
      <selection activeCell="S38" sqref="S38:S39"/>
    </sheetView>
  </sheetViews>
  <sheetFormatPr defaultRowHeight="14.5" x14ac:dyDescent="0.35"/>
  <cols>
    <col min="1" max="1" width="12.54296875" customWidth="1"/>
    <col min="2" max="2" width="3.7265625" customWidth="1"/>
    <col min="3" max="3" width="3.1796875" customWidth="1"/>
    <col min="4" max="4" width="12.7265625" customWidth="1"/>
    <col min="5" max="5" width="52.7265625" customWidth="1"/>
    <col min="6" max="6" width="8.6328125" customWidth="1"/>
    <col min="7" max="7" width="10.6328125" customWidth="1"/>
    <col min="8" max="8" width="5.7265625" customWidth="1"/>
    <col min="9" max="9" width="7" customWidth="1"/>
    <col min="10" max="10" width="3.7265625" customWidth="1"/>
    <col min="11" max="11" width="4.1796875" customWidth="1"/>
    <col min="12" max="12" width="5.26953125" customWidth="1"/>
    <col min="13" max="14" width="3.26953125" customWidth="1"/>
    <col min="15" max="15" width="6.81640625" customWidth="1"/>
    <col min="16" max="16" width="7.81640625" hidden="1" customWidth="1"/>
    <col min="17" max="17" width="7.90625" customWidth="1"/>
    <col min="18" max="18" width="13.7265625" customWidth="1"/>
    <col min="19" max="20" width="15.54296875" bestFit="1" customWidth="1"/>
    <col min="21" max="21" width="15.54296875" customWidth="1"/>
    <col min="22" max="23" width="15.54296875" hidden="1" customWidth="1"/>
    <col min="24" max="24" width="1.453125" customWidth="1"/>
    <col min="25" max="25" width="14.81640625" bestFit="1" customWidth="1"/>
  </cols>
  <sheetData>
    <row r="1" spans="1:25" ht="15.5" x14ac:dyDescent="0.35">
      <c r="A1" s="28" t="s">
        <v>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5" ht="15.5" x14ac:dyDescent="0.35">
      <c r="A2" s="28" t="s">
        <v>15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</row>
    <row r="3" spans="1:25" ht="15.5" x14ac:dyDescent="0.35">
      <c r="A3" s="29" t="s">
        <v>10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S3" s="30"/>
      <c r="T3" s="30"/>
      <c r="U3" s="30"/>
      <c r="V3" s="30"/>
      <c r="W3" s="30"/>
    </row>
    <row r="4" spans="1:25" ht="15.5" x14ac:dyDescent="0.35">
      <c r="A4" s="29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</row>
    <row r="5" spans="1:25" ht="15.5" x14ac:dyDescent="0.35">
      <c r="A5" s="363" t="s">
        <v>11</v>
      </c>
      <c r="B5" s="363"/>
      <c r="C5" s="363"/>
      <c r="D5" s="363"/>
      <c r="E5" s="363"/>
      <c r="F5" s="363"/>
      <c r="G5" s="363"/>
      <c r="H5" s="363"/>
      <c r="I5" s="363"/>
      <c r="J5" s="363"/>
      <c r="K5" s="363"/>
      <c r="L5" s="363"/>
      <c r="M5" s="363"/>
      <c r="N5" s="363"/>
      <c r="O5" s="363"/>
      <c r="P5" s="363"/>
      <c r="Q5" s="363"/>
      <c r="R5" s="363"/>
      <c r="S5" s="363"/>
      <c r="T5" s="363"/>
      <c r="U5" s="363"/>
      <c r="V5" s="162"/>
      <c r="W5" s="162"/>
    </row>
    <row r="6" spans="1:25" ht="15.5" x14ac:dyDescent="0.35">
      <c r="A6" s="364" t="s">
        <v>123</v>
      </c>
      <c r="B6" s="364"/>
      <c r="C6" s="364"/>
      <c r="D6" s="364"/>
      <c r="E6" s="364"/>
      <c r="F6" s="364"/>
      <c r="G6" s="364"/>
      <c r="H6" s="364"/>
      <c r="I6" s="364"/>
      <c r="J6" s="364"/>
      <c r="K6" s="364"/>
      <c r="L6" s="364"/>
      <c r="M6" s="364"/>
      <c r="N6" s="364"/>
      <c r="O6" s="364"/>
      <c r="P6" s="364"/>
      <c r="Q6" s="364"/>
      <c r="R6" s="364"/>
      <c r="S6" s="364"/>
      <c r="T6" s="364"/>
      <c r="U6" s="364"/>
      <c r="V6" s="10"/>
      <c r="W6" s="10"/>
    </row>
    <row r="7" spans="1:25" ht="15.5" x14ac:dyDescent="0.35">
      <c r="A7" s="365" t="s">
        <v>197</v>
      </c>
      <c r="B7" s="365"/>
      <c r="C7" s="365"/>
      <c r="D7" s="365"/>
      <c r="E7" s="365"/>
      <c r="F7" s="365"/>
      <c r="G7" s="365"/>
      <c r="H7" s="365"/>
      <c r="I7" s="365"/>
      <c r="J7" s="365"/>
      <c r="K7" s="365"/>
      <c r="L7" s="365"/>
      <c r="M7" s="365"/>
      <c r="N7" s="365"/>
      <c r="O7" s="365"/>
      <c r="P7" s="365"/>
      <c r="Q7" s="365"/>
      <c r="R7" s="365"/>
      <c r="S7" s="365"/>
      <c r="T7" s="365"/>
      <c r="U7" s="365"/>
      <c r="V7" s="28"/>
      <c r="W7" s="28"/>
    </row>
    <row r="8" spans="1:25" ht="15.5" x14ac:dyDescent="0.35">
      <c r="A8" s="12"/>
      <c r="B8" s="12"/>
      <c r="C8" s="12"/>
      <c r="D8" s="12"/>
      <c r="E8" s="12"/>
      <c r="F8" s="12"/>
      <c r="G8" s="12"/>
      <c r="H8" s="31"/>
      <c r="I8" s="11"/>
      <c r="J8" s="32"/>
      <c r="K8" s="32"/>
      <c r="L8" s="12"/>
      <c r="M8" s="12"/>
      <c r="N8" s="12"/>
      <c r="O8" s="12"/>
      <c r="P8" s="12"/>
      <c r="Q8" s="12"/>
      <c r="R8" s="28"/>
      <c r="S8" s="28"/>
      <c r="T8" s="28"/>
      <c r="U8" s="28"/>
      <c r="V8" s="28"/>
      <c r="W8" s="28"/>
    </row>
    <row r="9" spans="1:25" ht="15" customHeight="1" x14ac:dyDescent="0.35">
      <c r="A9" s="345" t="s">
        <v>16</v>
      </c>
      <c r="B9" s="352" t="s">
        <v>2</v>
      </c>
      <c r="C9" s="353"/>
      <c r="D9" s="353"/>
      <c r="E9" s="354"/>
      <c r="F9" s="358" t="s">
        <v>3</v>
      </c>
      <c r="G9" s="358" t="s">
        <v>4</v>
      </c>
      <c r="H9" s="360" t="s">
        <v>5</v>
      </c>
      <c r="I9" s="361"/>
      <c r="J9" s="361"/>
      <c r="K9" s="361"/>
      <c r="L9" s="361"/>
      <c r="M9" s="361"/>
      <c r="N9" s="361"/>
      <c r="O9" s="361"/>
      <c r="P9" s="361"/>
      <c r="Q9" s="362"/>
      <c r="R9" s="358" t="s">
        <v>6</v>
      </c>
      <c r="S9" s="345" t="s">
        <v>206</v>
      </c>
      <c r="T9" s="345" t="s">
        <v>207</v>
      </c>
      <c r="U9" s="345" t="s">
        <v>150</v>
      </c>
      <c r="V9" s="345" t="s">
        <v>153</v>
      </c>
      <c r="W9" s="345" t="s">
        <v>150</v>
      </c>
    </row>
    <row r="10" spans="1:25" ht="30.75" customHeight="1" x14ac:dyDescent="0.35">
      <c r="A10" s="346"/>
      <c r="B10" s="355"/>
      <c r="C10" s="356"/>
      <c r="D10" s="356"/>
      <c r="E10" s="357"/>
      <c r="F10" s="359"/>
      <c r="G10" s="359"/>
      <c r="H10" s="33"/>
      <c r="I10" s="34"/>
      <c r="J10" s="34"/>
      <c r="K10" s="34"/>
      <c r="L10" s="34"/>
      <c r="M10" s="34"/>
      <c r="N10" s="34"/>
      <c r="O10" s="34"/>
      <c r="P10" s="35"/>
      <c r="Q10" s="36" t="s">
        <v>8</v>
      </c>
      <c r="R10" s="359"/>
      <c r="S10" s="346"/>
      <c r="T10" s="346"/>
      <c r="U10" s="346"/>
      <c r="V10" s="346"/>
      <c r="W10" s="346"/>
    </row>
    <row r="11" spans="1:25" ht="15.75" customHeight="1" x14ac:dyDescent="0.35">
      <c r="A11" s="37">
        <v>1</v>
      </c>
      <c r="B11" s="349">
        <v>2</v>
      </c>
      <c r="C11" s="350"/>
      <c r="D11" s="350"/>
      <c r="E11" s="38"/>
      <c r="F11" s="37">
        <v>3</v>
      </c>
      <c r="G11" s="37">
        <v>4</v>
      </c>
      <c r="H11" s="349">
        <v>5</v>
      </c>
      <c r="I11" s="350"/>
      <c r="J11" s="350"/>
      <c r="K11" s="350"/>
      <c r="L11" s="350"/>
      <c r="M11" s="350"/>
      <c r="N11" s="350"/>
      <c r="O11" s="350"/>
      <c r="P11" s="351"/>
      <c r="Q11" s="39"/>
      <c r="R11" s="37">
        <v>6</v>
      </c>
      <c r="S11" s="37">
        <v>7</v>
      </c>
      <c r="T11" s="37">
        <v>8</v>
      </c>
      <c r="U11" s="37">
        <v>9</v>
      </c>
      <c r="V11" s="37">
        <v>7</v>
      </c>
      <c r="W11" s="37">
        <v>7</v>
      </c>
    </row>
    <row r="12" spans="1:25" ht="15.75" customHeight="1" x14ac:dyDescent="0.35">
      <c r="A12" s="164" t="s">
        <v>124</v>
      </c>
      <c r="B12" s="165" t="s">
        <v>125</v>
      </c>
      <c r="C12" s="166"/>
      <c r="D12" s="166"/>
      <c r="E12" s="167"/>
      <c r="F12" s="163"/>
      <c r="G12" s="163"/>
      <c r="H12" s="167"/>
      <c r="I12" s="167"/>
      <c r="J12" s="167"/>
      <c r="K12" s="167"/>
      <c r="L12" s="167"/>
      <c r="M12" s="167"/>
      <c r="N12" s="167"/>
      <c r="O12" s="168"/>
      <c r="P12" s="163"/>
      <c r="Q12" s="163"/>
      <c r="R12" s="168"/>
      <c r="S12" s="182">
        <f>S13+S29</f>
        <v>10679535000</v>
      </c>
      <c r="T12" s="182">
        <f>T13+T29</f>
        <v>10679535000</v>
      </c>
      <c r="U12" s="182">
        <f>U13+U29</f>
        <v>0</v>
      </c>
      <c r="V12" s="163"/>
      <c r="W12" s="163"/>
      <c r="Y12" s="288"/>
    </row>
    <row r="13" spans="1:25" ht="15.5" x14ac:dyDescent="0.35">
      <c r="A13" s="175">
        <v>3151</v>
      </c>
      <c r="B13" s="140" t="s">
        <v>67</v>
      </c>
      <c r="C13" s="141"/>
      <c r="D13" s="142"/>
      <c r="E13" s="143"/>
      <c r="F13" s="48"/>
      <c r="G13" s="47"/>
      <c r="H13" s="42"/>
      <c r="I13" s="42"/>
      <c r="J13" s="42"/>
      <c r="K13" s="42"/>
      <c r="L13" s="42"/>
      <c r="M13" s="42"/>
      <c r="N13" s="42"/>
      <c r="O13" s="42"/>
      <c r="P13" s="44"/>
      <c r="Q13" s="45"/>
      <c r="R13" s="53"/>
      <c r="S13" s="150">
        <v>9058371000</v>
      </c>
      <c r="T13" s="150">
        <f>T14+T22</f>
        <v>9058371000</v>
      </c>
      <c r="U13" s="150">
        <f>U14+U22</f>
        <v>0</v>
      </c>
      <c r="V13" s="150" t="e">
        <f>V14+V22</f>
        <v>#REF!</v>
      </c>
      <c r="W13" s="150" t="e">
        <f>#REF!-V13</f>
        <v>#REF!</v>
      </c>
    </row>
    <row r="14" spans="1:25" ht="15.5" x14ac:dyDescent="0.35">
      <c r="A14" s="144" t="s">
        <v>68</v>
      </c>
      <c r="B14" s="145" t="s">
        <v>69</v>
      </c>
      <c r="C14" s="146"/>
      <c r="D14" s="147"/>
      <c r="E14" s="148"/>
      <c r="F14" s="48"/>
      <c r="G14" s="47"/>
      <c r="H14" s="42"/>
      <c r="I14" s="42"/>
      <c r="J14" s="42"/>
      <c r="K14" s="42"/>
      <c r="L14" s="42"/>
      <c r="M14" s="42"/>
      <c r="N14" s="42"/>
      <c r="O14" s="42"/>
      <c r="P14" s="44"/>
      <c r="Q14" s="176">
        <f>Q19+Q20</f>
        <v>278</v>
      </c>
      <c r="R14" s="53"/>
      <c r="S14" s="149">
        <v>8743301000</v>
      </c>
      <c r="T14" s="149">
        <f t="shared" ref="T14:V17" si="0">T15</f>
        <v>8743301000</v>
      </c>
      <c r="U14" s="149">
        <f t="shared" si="0"/>
        <v>0</v>
      </c>
      <c r="V14" s="149" t="e">
        <f t="shared" si="0"/>
        <v>#REF!</v>
      </c>
      <c r="W14" s="149" t="e">
        <f>#REF!-V14</f>
        <v>#REF!</v>
      </c>
    </row>
    <row r="15" spans="1:25" ht="15.5" x14ac:dyDescent="0.35">
      <c r="A15" s="118" t="s">
        <v>17</v>
      </c>
      <c r="B15" s="113" t="s">
        <v>18</v>
      </c>
      <c r="C15" s="114"/>
      <c r="D15" s="119"/>
      <c r="E15" s="115"/>
      <c r="F15" s="120"/>
      <c r="G15" s="121"/>
      <c r="H15" s="116"/>
      <c r="I15" s="116"/>
      <c r="J15" s="116"/>
      <c r="K15" s="116"/>
      <c r="L15" s="116"/>
      <c r="M15" s="116"/>
      <c r="N15" s="116"/>
      <c r="O15" s="122"/>
      <c r="P15" s="123"/>
      <c r="Q15" s="117"/>
      <c r="R15" s="124"/>
      <c r="S15" s="125">
        <v>8743301000</v>
      </c>
      <c r="T15" s="125">
        <f t="shared" si="0"/>
        <v>8743301000</v>
      </c>
      <c r="U15" s="125">
        <f t="shared" si="0"/>
        <v>0</v>
      </c>
      <c r="V15" s="125" t="e">
        <f t="shared" si="0"/>
        <v>#REF!</v>
      </c>
      <c r="W15" s="125" t="e">
        <f>#REF!-V15</f>
        <v>#REF!</v>
      </c>
    </row>
    <row r="16" spans="1:25" ht="15.5" x14ac:dyDescent="0.35">
      <c r="A16" s="126" t="s">
        <v>19</v>
      </c>
      <c r="B16" s="127" t="s">
        <v>20</v>
      </c>
      <c r="C16" s="128"/>
      <c r="D16" s="129"/>
      <c r="E16" s="130"/>
      <c r="F16" s="131"/>
      <c r="G16" s="132"/>
      <c r="H16" s="133"/>
      <c r="I16" s="133"/>
      <c r="J16" s="133"/>
      <c r="K16" s="133"/>
      <c r="L16" s="133"/>
      <c r="M16" s="133"/>
      <c r="N16" s="133"/>
      <c r="O16" s="134"/>
      <c r="P16" s="135"/>
      <c r="Q16" s="136"/>
      <c r="R16" s="137"/>
      <c r="S16" s="138">
        <v>8743301000</v>
      </c>
      <c r="T16" s="138">
        <f t="shared" si="0"/>
        <v>8743301000</v>
      </c>
      <c r="U16" s="138">
        <f t="shared" si="0"/>
        <v>0</v>
      </c>
      <c r="V16" s="138" t="e">
        <f t="shared" si="0"/>
        <v>#REF!</v>
      </c>
      <c r="W16" s="138" t="e">
        <f>#REF!-V16</f>
        <v>#REF!</v>
      </c>
    </row>
    <row r="17" spans="1:29" ht="15.5" x14ac:dyDescent="0.35">
      <c r="A17" s="97" t="s">
        <v>62</v>
      </c>
      <c r="B17" s="98" t="s">
        <v>84</v>
      </c>
      <c r="C17" s="99"/>
      <c r="D17" s="100"/>
      <c r="E17" s="101"/>
      <c r="F17" s="102"/>
      <c r="G17" s="103"/>
      <c r="H17" s="104"/>
      <c r="I17" s="104"/>
      <c r="J17" s="104"/>
      <c r="K17" s="104"/>
      <c r="L17" s="104"/>
      <c r="M17" s="104"/>
      <c r="N17" s="104"/>
      <c r="O17" s="105"/>
      <c r="P17" s="106"/>
      <c r="Q17" s="107"/>
      <c r="R17" s="108"/>
      <c r="S17" s="112">
        <v>8743301000</v>
      </c>
      <c r="T17" s="112">
        <f t="shared" si="0"/>
        <v>8743301000</v>
      </c>
      <c r="U17" s="112">
        <f t="shared" si="0"/>
        <v>0</v>
      </c>
      <c r="V17" s="112" t="e">
        <f t="shared" si="0"/>
        <v>#REF!</v>
      </c>
      <c r="W17" s="112" t="e">
        <f>#REF!-V17</f>
        <v>#REF!</v>
      </c>
    </row>
    <row r="18" spans="1:29" ht="15.5" x14ac:dyDescent="0.35">
      <c r="A18" s="188">
        <v>521119</v>
      </c>
      <c r="B18" s="74" t="s">
        <v>25</v>
      </c>
      <c r="C18" s="75"/>
      <c r="D18" s="76"/>
      <c r="E18" s="77"/>
      <c r="F18" s="78"/>
      <c r="G18" s="79"/>
      <c r="H18" s="80"/>
      <c r="I18" s="80"/>
      <c r="J18" s="80"/>
      <c r="K18" s="80"/>
      <c r="L18" s="80"/>
      <c r="M18" s="80"/>
      <c r="N18" s="80"/>
      <c r="O18" s="81"/>
      <c r="P18" s="82"/>
      <c r="Q18" s="83"/>
      <c r="R18" s="84"/>
      <c r="S18" s="85">
        <v>8743301000</v>
      </c>
      <c r="T18" s="85">
        <f>T19+T20</f>
        <v>8743301000</v>
      </c>
      <c r="U18" s="85">
        <f>U19+U20</f>
        <v>0</v>
      </c>
      <c r="V18" s="85" t="e">
        <f>V19+V20</f>
        <v>#REF!</v>
      </c>
      <c r="W18" s="85" t="e">
        <f>#REF!-V18</f>
        <v>#REF!</v>
      </c>
    </row>
    <row r="19" spans="1:29" ht="15.5" x14ac:dyDescent="0.35">
      <c r="A19" s="49"/>
      <c r="B19" s="50" t="s">
        <v>63</v>
      </c>
      <c r="C19" s="51"/>
      <c r="D19" s="52"/>
      <c r="E19" s="40"/>
      <c r="F19" s="48"/>
      <c r="G19" s="47"/>
      <c r="H19" s="42">
        <v>277</v>
      </c>
      <c r="I19" s="42" t="s">
        <v>64</v>
      </c>
      <c r="J19" s="42" t="s">
        <v>0</v>
      </c>
      <c r="K19" s="42">
        <v>1</v>
      </c>
      <c r="L19" s="42" t="s">
        <v>65</v>
      </c>
      <c r="M19" s="72" t="s">
        <v>0</v>
      </c>
      <c r="N19" s="72">
        <v>1</v>
      </c>
      <c r="O19" s="72" t="s">
        <v>42</v>
      </c>
      <c r="P19" s="71"/>
      <c r="Q19" s="45">
        <f>H19*K19*N19</f>
        <v>277</v>
      </c>
      <c r="R19" s="53">
        <v>31507000</v>
      </c>
      <c r="S19" s="27">
        <v>8727439000</v>
      </c>
      <c r="T19" s="27">
        <f>Q19*R19</f>
        <v>8727439000</v>
      </c>
      <c r="U19" s="292">
        <f>S19-T19</f>
        <v>0</v>
      </c>
      <c r="V19" s="27" t="e">
        <f>#REF!</f>
        <v>#REF!</v>
      </c>
      <c r="W19" s="27" t="e">
        <f>#REF!-V19</f>
        <v>#REF!</v>
      </c>
    </row>
    <row r="20" spans="1:29" ht="15.5" x14ac:dyDescent="0.35">
      <c r="A20" s="49"/>
      <c r="B20" s="50" t="s">
        <v>66</v>
      </c>
      <c r="C20" s="51"/>
      <c r="D20" s="52"/>
      <c r="E20" s="40"/>
      <c r="F20" s="48"/>
      <c r="G20" s="47"/>
      <c r="H20" s="42">
        <v>1</v>
      </c>
      <c r="I20" s="42" t="s">
        <v>64</v>
      </c>
      <c r="J20" s="42" t="s">
        <v>0</v>
      </c>
      <c r="K20" s="42">
        <v>1</v>
      </c>
      <c r="L20" s="42" t="s">
        <v>65</v>
      </c>
      <c r="M20" s="72" t="s">
        <v>0</v>
      </c>
      <c r="N20" s="72">
        <v>1</v>
      </c>
      <c r="O20" s="72" t="s">
        <v>42</v>
      </c>
      <c r="P20" s="71"/>
      <c r="Q20" s="45">
        <f>H20*K20*N20</f>
        <v>1</v>
      </c>
      <c r="R20" s="53">
        <v>15862000</v>
      </c>
      <c r="S20" s="27">
        <v>15862000</v>
      </c>
      <c r="T20" s="27">
        <f t="shared" ref="T20" si="1">Q20*R20</f>
        <v>15862000</v>
      </c>
      <c r="U20" s="292">
        <f t="shared" ref="U20:U22" si="2">S20-T20</f>
        <v>0</v>
      </c>
      <c r="V20" s="27" t="e">
        <f>#REF!</f>
        <v>#REF!</v>
      </c>
      <c r="W20" s="27" t="e">
        <f>#REF!-V20</f>
        <v>#REF!</v>
      </c>
    </row>
    <row r="21" spans="1:29" ht="15.5" x14ac:dyDescent="0.35">
      <c r="A21" s="49"/>
      <c r="B21" s="50"/>
      <c r="C21" s="51"/>
      <c r="D21" s="52"/>
      <c r="E21" s="40"/>
      <c r="F21" s="48"/>
      <c r="G21" s="47"/>
      <c r="H21" s="42"/>
      <c r="I21" s="42"/>
      <c r="J21" s="42"/>
      <c r="K21" s="42"/>
      <c r="L21" s="42"/>
      <c r="M21" s="72"/>
      <c r="N21" s="72"/>
      <c r="O21" s="72"/>
      <c r="P21" s="71"/>
      <c r="Q21" s="45"/>
      <c r="R21" s="53"/>
      <c r="S21" s="27"/>
      <c r="T21" s="27"/>
      <c r="U21" s="292"/>
      <c r="V21" s="27"/>
      <c r="W21" s="27"/>
    </row>
    <row r="22" spans="1:29" ht="15.5" x14ac:dyDescent="0.35">
      <c r="A22" s="144" t="s">
        <v>85</v>
      </c>
      <c r="B22" s="145" t="s">
        <v>69</v>
      </c>
      <c r="C22" s="146"/>
      <c r="D22" s="147"/>
      <c r="E22" s="148"/>
      <c r="F22" s="48"/>
      <c r="G22" s="47"/>
      <c r="H22" s="42"/>
      <c r="I22" s="42"/>
      <c r="J22" s="42"/>
      <c r="K22" s="42"/>
      <c r="L22" s="42"/>
      <c r="M22" s="42"/>
      <c r="N22" s="42"/>
      <c r="O22" s="42"/>
      <c r="P22" s="44"/>
      <c r="Q22" s="176">
        <f>Q27</f>
        <v>10</v>
      </c>
      <c r="R22" s="53"/>
      <c r="S22" s="292">
        <f>S23</f>
        <v>315070000</v>
      </c>
      <c r="T22" s="292">
        <f>Q22*R19</f>
        <v>315070000</v>
      </c>
      <c r="U22" s="292">
        <f t="shared" si="2"/>
        <v>0</v>
      </c>
      <c r="V22" s="149" t="e">
        <f t="shared" ref="S22:V26" si="3">V23</f>
        <v>#REF!</v>
      </c>
      <c r="W22" s="149" t="e">
        <f>#REF!-V22</f>
        <v>#REF!</v>
      </c>
      <c r="AA22" s="289"/>
      <c r="AB22" s="289"/>
      <c r="AC22" s="289"/>
    </row>
    <row r="23" spans="1:29" ht="15.5" x14ac:dyDescent="0.35">
      <c r="A23" s="118" t="s">
        <v>86</v>
      </c>
      <c r="B23" s="113" t="s">
        <v>87</v>
      </c>
      <c r="C23" s="114"/>
      <c r="D23" s="119"/>
      <c r="E23" s="115"/>
      <c r="F23" s="120"/>
      <c r="G23" s="121"/>
      <c r="H23" s="116"/>
      <c r="I23" s="116"/>
      <c r="J23" s="116"/>
      <c r="K23" s="116"/>
      <c r="L23" s="116"/>
      <c r="M23" s="116"/>
      <c r="N23" s="116"/>
      <c r="O23" s="122"/>
      <c r="P23" s="123"/>
      <c r="Q23" s="117"/>
      <c r="R23" s="124"/>
      <c r="S23" s="125">
        <f t="shared" si="3"/>
        <v>315070000</v>
      </c>
      <c r="T23" s="125">
        <f t="shared" si="3"/>
        <v>315070000</v>
      </c>
      <c r="U23" s="125">
        <f t="shared" si="3"/>
        <v>0</v>
      </c>
      <c r="V23" s="125" t="e">
        <f t="shared" si="3"/>
        <v>#REF!</v>
      </c>
      <c r="W23" s="125" t="e">
        <f>#REF!-V23</f>
        <v>#REF!</v>
      </c>
    </row>
    <row r="24" spans="1:29" ht="15.5" x14ac:dyDescent="0.35">
      <c r="A24" s="126" t="s">
        <v>19</v>
      </c>
      <c r="B24" s="127" t="s">
        <v>20</v>
      </c>
      <c r="C24" s="128"/>
      <c r="D24" s="129"/>
      <c r="E24" s="130"/>
      <c r="F24" s="131"/>
      <c r="G24" s="132"/>
      <c r="H24" s="133"/>
      <c r="I24" s="133"/>
      <c r="J24" s="133"/>
      <c r="K24" s="133"/>
      <c r="L24" s="133"/>
      <c r="M24" s="133"/>
      <c r="N24" s="133"/>
      <c r="O24" s="134"/>
      <c r="P24" s="135"/>
      <c r="Q24" s="136"/>
      <c r="R24" s="137"/>
      <c r="S24" s="138">
        <f t="shared" si="3"/>
        <v>315070000</v>
      </c>
      <c r="T24" s="138">
        <f t="shared" si="3"/>
        <v>315070000</v>
      </c>
      <c r="U24" s="138">
        <f t="shared" si="3"/>
        <v>0</v>
      </c>
      <c r="V24" s="138" t="e">
        <f t="shared" si="3"/>
        <v>#REF!</v>
      </c>
      <c r="W24" s="138" t="e">
        <f>#REF!-V24</f>
        <v>#REF!</v>
      </c>
    </row>
    <row r="25" spans="1:29" ht="15.5" x14ac:dyDescent="0.35">
      <c r="A25" s="97" t="s">
        <v>62</v>
      </c>
      <c r="B25" s="98" t="s">
        <v>84</v>
      </c>
      <c r="C25" s="99"/>
      <c r="D25" s="100"/>
      <c r="E25" s="101"/>
      <c r="F25" s="102"/>
      <c r="G25" s="103"/>
      <c r="H25" s="104"/>
      <c r="I25" s="104"/>
      <c r="J25" s="104"/>
      <c r="K25" s="104"/>
      <c r="L25" s="104"/>
      <c r="M25" s="104"/>
      <c r="N25" s="104"/>
      <c r="O25" s="105"/>
      <c r="P25" s="106"/>
      <c r="Q25" s="107"/>
      <c r="R25" s="108"/>
      <c r="S25" s="112">
        <v>315070000</v>
      </c>
      <c r="T25" s="112">
        <f t="shared" si="3"/>
        <v>315070000</v>
      </c>
      <c r="U25" s="112">
        <f t="shared" si="3"/>
        <v>0</v>
      </c>
      <c r="V25" s="112" t="e">
        <f t="shared" si="3"/>
        <v>#REF!</v>
      </c>
      <c r="W25" s="112" t="e">
        <f>#REF!-V25</f>
        <v>#REF!</v>
      </c>
    </row>
    <row r="26" spans="1:29" ht="15.5" x14ac:dyDescent="0.35">
      <c r="A26" s="188">
        <v>521119</v>
      </c>
      <c r="B26" s="74" t="s">
        <v>25</v>
      </c>
      <c r="C26" s="75"/>
      <c r="D26" s="76"/>
      <c r="E26" s="77"/>
      <c r="F26" s="78"/>
      <c r="G26" s="79"/>
      <c r="H26" s="80"/>
      <c r="I26" s="80"/>
      <c r="J26" s="80"/>
      <c r="K26" s="80"/>
      <c r="L26" s="80"/>
      <c r="M26" s="80"/>
      <c r="N26" s="80"/>
      <c r="O26" s="81"/>
      <c r="P26" s="82"/>
      <c r="Q26" s="83"/>
      <c r="R26" s="84"/>
      <c r="S26" s="85">
        <v>315070000</v>
      </c>
      <c r="T26" s="85">
        <f t="shared" si="3"/>
        <v>315070000</v>
      </c>
      <c r="U26" s="85">
        <f t="shared" si="3"/>
        <v>0</v>
      </c>
      <c r="V26" s="85" t="e">
        <f t="shared" si="3"/>
        <v>#REF!</v>
      </c>
      <c r="W26" s="85" t="e">
        <f>#REF!-V26</f>
        <v>#REF!</v>
      </c>
    </row>
    <row r="27" spans="1:29" ht="15.5" x14ac:dyDescent="0.35">
      <c r="A27" s="49"/>
      <c r="B27" s="50" t="s">
        <v>88</v>
      </c>
      <c r="C27" s="51"/>
      <c r="D27" s="52"/>
      <c r="E27" s="40"/>
      <c r="F27" s="48"/>
      <c r="G27" s="47"/>
      <c r="H27" s="42">
        <v>10</v>
      </c>
      <c r="I27" s="42" t="s">
        <v>64</v>
      </c>
      <c r="J27" s="42" t="s">
        <v>0</v>
      </c>
      <c r="K27" s="42">
        <v>1</v>
      </c>
      <c r="L27" s="42" t="s">
        <v>65</v>
      </c>
      <c r="M27" s="72" t="s">
        <v>0</v>
      </c>
      <c r="N27" s="72">
        <v>1</v>
      </c>
      <c r="O27" s="72" t="s">
        <v>42</v>
      </c>
      <c r="P27" s="71"/>
      <c r="Q27" s="45">
        <f>H27*K27*N27</f>
        <v>10</v>
      </c>
      <c r="R27" s="53">
        <v>31507000</v>
      </c>
      <c r="S27" s="27">
        <v>315070000</v>
      </c>
      <c r="T27" s="27">
        <f>Q27*R27</f>
        <v>315070000</v>
      </c>
      <c r="U27" s="292">
        <f>S27-T27</f>
        <v>0</v>
      </c>
      <c r="V27" s="27" t="e">
        <f>#REF!</f>
        <v>#REF!</v>
      </c>
      <c r="W27" s="27" t="e">
        <f>#REF!-V27</f>
        <v>#REF!</v>
      </c>
    </row>
    <row r="28" spans="1:29" ht="15.75" customHeight="1" x14ac:dyDescent="0.35">
      <c r="A28" s="169"/>
      <c r="B28" s="170"/>
      <c r="C28" s="171"/>
      <c r="D28" s="171"/>
      <c r="E28" s="171"/>
      <c r="F28" s="47"/>
      <c r="G28" s="47"/>
      <c r="H28" s="173"/>
      <c r="I28" s="171"/>
      <c r="J28" s="171"/>
      <c r="K28" s="171"/>
      <c r="L28" s="171"/>
      <c r="M28" s="171"/>
      <c r="N28" s="171"/>
      <c r="O28" s="171"/>
      <c r="P28" s="171"/>
      <c r="Q28" s="47"/>
      <c r="R28" s="172"/>
      <c r="S28" s="47"/>
      <c r="T28" s="47"/>
      <c r="U28" s="47"/>
      <c r="V28" s="47"/>
      <c r="W28" s="47"/>
    </row>
    <row r="29" spans="1:29" ht="15.5" x14ac:dyDescent="0.35">
      <c r="A29" s="175">
        <v>5082</v>
      </c>
      <c r="B29" s="140" t="s">
        <v>80</v>
      </c>
      <c r="C29" s="141"/>
      <c r="D29" s="142"/>
      <c r="E29" s="143"/>
      <c r="F29" s="48"/>
      <c r="G29" s="47"/>
      <c r="H29" s="42"/>
      <c r="I29" s="42"/>
      <c r="J29" s="42"/>
      <c r="K29" s="42"/>
      <c r="L29" s="42"/>
      <c r="M29" s="42"/>
      <c r="N29" s="42"/>
      <c r="O29" s="42"/>
      <c r="P29" s="44"/>
      <c r="Q29" s="45"/>
      <c r="R29" s="53"/>
      <c r="S29" s="150">
        <f t="shared" ref="S29:T31" si="4">S30</f>
        <v>1621164000</v>
      </c>
      <c r="T29" s="150">
        <f t="shared" si="4"/>
        <v>1621164000</v>
      </c>
      <c r="U29" s="293">
        <f>S29-T29</f>
        <v>0</v>
      </c>
      <c r="V29" s="149"/>
      <c r="W29" s="150"/>
    </row>
    <row r="30" spans="1:29" ht="15.5" x14ac:dyDescent="0.35">
      <c r="A30" s="144" t="s">
        <v>81</v>
      </c>
      <c r="B30" s="145" t="s">
        <v>72</v>
      </c>
      <c r="C30" s="146"/>
      <c r="D30" s="147"/>
      <c r="E30" s="148"/>
      <c r="F30" s="48"/>
      <c r="G30" s="47"/>
      <c r="H30" s="42"/>
      <c r="I30" s="42"/>
      <c r="J30" s="42"/>
      <c r="K30" s="42"/>
      <c r="L30" s="42"/>
      <c r="M30" s="42"/>
      <c r="N30" s="42"/>
      <c r="O30" s="42"/>
      <c r="P30" s="44"/>
      <c r="Q30" s="45"/>
      <c r="R30" s="53"/>
      <c r="S30" s="149">
        <f t="shared" si="4"/>
        <v>1621164000</v>
      </c>
      <c r="T30" s="149">
        <f t="shared" si="4"/>
        <v>1621164000</v>
      </c>
      <c r="U30" s="293">
        <f>S30-T30</f>
        <v>0</v>
      </c>
      <c r="V30" s="149"/>
      <c r="W30" s="149"/>
    </row>
    <row r="31" spans="1:29" ht="15.5" x14ac:dyDescent="0.35">
      <c r="A31" s="118" t="s">
        <v>82</v>
      </c>
      <c r="B31" s="113" t="s">
        <v>83</v>
      </c>
      <c r="C31" s="114"/>
      <c r="D31" s="119"/>
      <c r="E31" s="115"/>
      <c r="F31" s="120"/>
      <c r="G31" s="121"/>
      <c r="H31" s="116"/>
      <c r="I31" s="116"/>
      <c r="J31" s="116"/>
      <c r="K31" s="116"/>
      <c r="L31" s="116"/>
      <c r="M31" s="116"/>
      <c r="N31" s="116"/>
      <c r="O31" s="122"/>
      <c r="P31" s="123"/>
      <c r="Q31" s="117"/>
      <c r="R31" s="124"/>
      <c r="S31" s="125">
        <f t="shared" si="4"/>
        <v>1621164000</v>
      </c>
      <c r="T31" s="125">
        <f t="shared" si="4"/>
        <v>1621164000</v>
      </c>
      <c r="U31" s="125">
        <f>U32</f>
        <v>0</v>
      </c>
      <c r="V31" s="125"/>
      <c r="W31" s="125"/>
    </row>
    <row r="32" spans="1:29" ht="15.5" x14ac:dyDescent="0.35">
      <c r="A32" s="126" t="s">
        <v>19</v>
      </c>
      <c r="B32" s="127" t="s">
        <v>20</v>
      </c>
      <c r="C32" s="128"/>
      <c r="D32" s="129"/>
      <c r="E32" s="130"/>
      <c r="F32" s="131"/>
      <c r="G32" s="132"/>
      <c r="H32" s="133"/>
      <c r="I32" s="133"/>
      <c r="J32" s="133"/>
      <c r="K32" s="133"/>
      <c r="L32" s="133"/>
      <c r="M32" s="133"/>
      <c r="N32" s="133"/>
      <c r="O32" s="134"/>
      <c r="P32" s="135"/>
      <c r="Q32" s="136"/>
      <c r="R32" s="137"/>
      <c r="S32" s="138">
        <f>S33+S66</f>
        <v>1621164000</v>
      </c>
      <c r="T32" s="138">
        <f>T33+T66</f>
        <v>1621164000</v>
      </c>
      <c r="U32" s="138">
        <f>U33+U66</f>
        <v>0</v>
      </c>
      <c r="V32" s="138"/>
      <c r="W32" s="138"/>
    </row>
    <row r="33" spans="1:23" ht="15.5" x14ac:dyDescent="0.35">
      <c r="A33" s="97" t="s">
        <v>21</v>
      </c>
      <c r="B33" s="98" t="s">
        <v>22</v>
      </c>
      <c r="C33" s="99"/>
      <c r="D33" s="100"/>
      <c r="E33" s="101"/>
      <c r="F33" s="102"/>
      <c r="G33" s="103"/>
      <c r="H33" s="104"/>
      <c r="I33" s="104"/>
      <c r="J33" s="104"/>
      <c r="K33" s="104"/>
      <c r="L33" s="104"/>
      <c r="M33" s="104"/>
      <c r="N33" s="104"/>
      <c r="O33" s="105"/>
      <c r="P33" s="106"/>
      <c r="Q33" s="107"/>
      <c r="R33" s="108"/>
      <c r="S33" s="112">
        <f>S36+S42+S50+S56</f>
        <v>1301456000</v>
      </c>
      <c r="T33" s="112">
        <f>T36+T42+T50+T56</f>
        <v>1301456000</v>
      </c>
      <c r="U33" s="112">
        <f>U36+U42+U50+U56</f>
        <v>0</v>
      </c>
      <c r="V33" s="112"/>
      <c r="W33" s="112"/>
    </row>
    <row r="34" spans="1:23" ht="15.5" x14ac:dyDescent="0.35">
      <c r="A34" s="49"/>
      <c r="B34" s="109" t="s">
        <v>23</v>
      </c>
      <c r="C34" s="51"/>
      <c r="D34" s="52"/>
      <c r="E34" s="40"/>
      <c r="F34" s="48"/>
      <c r="G34" s="47"/>
      <c r="H34" s="42"/>
      <c r="I34" s="42"/>
      <c r="J34" s="42"/>
      <c r="K34" s="42"/>
      <c r="L34" s="42"/>
      <c r="M34" s="42"/>
      <c r="N34" s="42"/>
      <c r="O34" s="43"/>
      <c r="P34" s="44"/>
      <c r="Q34" s="45"/>
      <c r="R34" s="53"/>
      <c r="S34" s="27"/>
      <c r="T34" s="27"/>
      <c r="U34" s="27"/>
      <c r="V34" s="27"/>
      <c r="W34" s="27"/>
    </row>
    <row r="35" spans="1:23" ht="15.5" x14ac:dyDescent="0.35">
      <c r="A35" s="49"/>
      <c r="B35" s="109" t="s">
        <v>24</v>
      </c>
      <c r="C35" s="51"/>
      <c r="D35" s="52"/>
      <c r="E35" s="40"/>
      <c r="F35" s="48"/>
      <c r="G35" s="47"/>
      <c r="H35" s="42"/>
      <c r="I35" s="42"/>
      <c r="J35" s="42"/>
      <c r="K35" s="42"/>
      <c r="L35" s="42"/>
      <c r="M35" s="42"/>
      <c r="N35" s="42"/>
      <c r="O35" s="43"/>
      <c r="P35" s="44"/>
      <c r="Q35" s="45"/>
      <c r="R35" s="53"/>
      <c r="S35" s="27"/>
      <c r="T35" s="27"/>
      <c r="U35" s="27"/>
      <c r="V35" s="27"/>
      <c r="W35" s="27"/>
    </row>
    <row r="36" spans="1:23" ht="15.5" x14ac:dyDescent="0.35">
      <c r="A36" s="188">
        <v>521119</v>
      </c>
      <c r="B36" s="74" t="s">
        <v>25</v>
      </c>
      <c r="C36" s="75"/>
      <c r="D36" s="76"/>
      <c r="E36" s="77"/>
      <c r="F36" s="78"/>
      <c r="G36" s="79"/>
      <c r="H36" s="80"/>
      <c r="I36" s="80"/>
      <c r="J36" s="80"/>
      <c r="K36" s="80"/>
      <c r="L36" s="80"/>
      <c r="M36" s="80"/>
      <c r="N36" s="80"/>
      <c r="O36" s="81"/>
      <c r="P36" s="82"/>
      <c r="Q36" s="83"/>
      <c r="R36" s="84"/>
      <c r="S36" s="85">
        <f>S37+S40</f>
        <v>1067805000</v>
      </c>
      <c r="T36" s="85">
        <f>T37+T40</f>
        <v>1067805000</v>
      </c>
      <c r="U36" s="85">
        <f>U37+U40</f>
        <v>0</v>
      </c>
      <c r="V36" s="85" t="e">
        <f>#REF!+V37+V40</f>
        <v>#REF!</v>
      </c>
      <c r="W36" s="85" t="e">
        <f>#REF!-V36</f>
        <v>#REF!</v>
      </c>
    </row>
    <row r="37" spans="1:23" ht="15.5" x14ac:dyDescent="0.35">
      <c r="A37" s="49"/>
      <c r="B37" s="295" t="s">
        <v>26</v>
      </c>
      <c r="C37" s="296" t="s">
        <v>195</v>
      </c>
      <c r="D37" s="297"/>
      <c r="E37" s="307"/>
      <c r="F37" s="90"/>
      <c r="G37" s="91"/>
      <c r="H37" s="92"/>
      <c r="I37" s="92"/>
      <c r="J37" s="92"/>
      <c r="K37" s="92"/>
      <c r="L37" s="92"/>
      <c r="M37" s="92"/>
      <c r="N37" s="92"/>
      <c r="O37" s="92"/>
      <c r="P37" s="93"/>
      <c r="Q37" s="94"/>
      <c r="R37" s="95"/>
      <c r="S37" s="306">
        <f>SUM(S38:S39)</f>
        <v>869055000</v>
      </c>
      <c r="T37" s="306">
        <f>SUM(T38:T39)</f>
        <v>869055000</v>
      </c>
      <c r="U37" s="306">
        <f>SUM(U38:U39)</f>
        <v>0</v>
      </c>
      <c r="V37" s="96" t="e">
        <f>#REF!+#REF!+#REF!</f>
        <v>#REF!</v>
      </c>
      <c r="W37" s="96" t="e">
        <f>#REF!-V37</f>
        <v>#REF!</v>
      </c>
    </row>
    <row r="38" spans="1:23" ht="15.5" x14ac:dyDescent="0.35">
      <c r="A38" s="49"/>
      <c r="B38" s="109"/>
      <c r="C38" s="51" t="s">
        <v>27</v>
      </c>
      <c r="D38" s="52" t="s">
        <v>151</v>
      </c>
      <c r="E38" s="69"/>
      <c r="F38" s="41"/>
      <c r="G38" s="26"/>
      <c r="H38" s="42">
        <v>5</v>
      </c>
      <c r="I38" s="42" t="s">
        <v>30</v>
      </c>
      <c r="J38" s="42" t="s">
        <v>0</v>
      </c>
      <c r="K38" s="42">
        <v>1</v>
      </c>
      <c r="L38" s="42" t="s">
        <v>28</v>
      </c>
      <c r="M38" s="42" t="s">
        <v>0</v>
      </c>
      <c r="N38" s="42">
        <v>1</v>
      </c>
      <c r="O38" s="42" t="s">
        <v>1</v>
      </c>
      <c r="P38" s="71"/>
      <c r="Q38" s="45">
        <f>H38*K38*N38</f>
        <v>5</v>
      </c>
      <c r="R38" s="53">
        <v>74699000</v>
      </c>
      <c r="S38" s="27">
        <v>373495000</v>
      </c>
      <c r="T38" s="27">
        <f>Q38*R38</f>
        <v>373495000</v>
      </c>
      <c r="U38" s="292">
        <f t="shared" ref="U38:U39" si="5">S38-T38</f>
        <v>0</v>
      </c>
      <c r="V38" s="27"/>
      <c r="W38" s="27"/>
    </row>
    <row r="39" spans="1:23" ht="15.5" x14ac:dyDescent="0.35">
      <c r="A39" s="49"/>
      <c r="B39" s="109"/>
      <c r="C39" s="51" t="s">
        <v>31</v>
      </c>
      <c r="D39" s="52" t="s">
        <v>152</v>
      </c>
      <c r="E39" s="69"/>
      <c r="F39" s="41"/>
      <c r="G39" s="26"/>
      <c r="H39" s="42">
        <v>5</v>
      </c>
      <c r="I39" s="42" t="s">
        <v>30</v>
      </c>
      <c r="J39" s="42" t="s">
        <v>0</v>
      </c>
      <c r="K39" s="42">
        <v>1</v>
      </c>
      <c r="L39" s="42" t="s">
        <v>28</v>
      </c>
      <c r="M39" s="42" t="s">
        <v>0</v>
      </c>
      <c r="N39" s="42">
        <v>1</v>
      </c>
      <c r="O39" s="42" t="s">
        <v>1</v>
      </c>
      <c r="P39" s="71"/>
      <c r="Q39" s="45">
        <f>H39*K39*N39</f>
        <v>5</v>
      </c>
      <c r="R39" s="53">
        <v>99112000</v>
      </c>
      <c r="S39" s="27">
        <v>495560000</v>
      </c>
      <c r="T39" s="27">
        <f>Q39*R39</f>
        <v>495560000</v>
      </c>
      <c r="U39" s="292">
        <f t="shared" si="5"/>
        <v>0</v>
      </c>
      <c r="V39" s="27"/>
      <c r="W39" s="27"/>
    </row>
    <row r="40" spans="1:23" ht="15.5" x14ac:dyDescent="0.35">
      <c r="A40" s="49"/>
      <c r="B40" s="86" t="s">
        <v>29</v>
      </c>
      <c r="C40" s="87" t="s">
        <v>196</v>
      </c>
      <c r="D40" s="88"/>
      <c r="E40" s="89"/>
      <c r="F40" s="90"/>
      <c r="G40" s="91"/>
      <c r="H40" s="92"/>
      <c r="I40" s="92"/>
      <c r="J40" s="92"/>
      <c r="K40" s="92"/>
      <c r="L40" s="92"/>
      <c r="M40" s="92"/>
      <c r="N40" s="92"/>
      <c r="O40" s="92"/>
      <c r="P40" s="93"/>
      <c r="Q40" s="94"/>
      <c r="R40" s="95"/>
      <c r="S40" s="184">
        <f>S41</f>
        <v>198750000</v>
      </c>
      <c r="T40" s="184">
        <f>T41</f>
        <v>198750000</v>
      </c>
      <c r="U40" s="184">
        <f>U41</f>
        <v>0</v>
      </c>
      <c r="V40" s="184" t="e">
        <f>#REF!+#REF!+#REF!</f>
        <v>#REF!</v>
      </c>
      <c r="W40" s="184" t="e">
        <f>#REF!-V40</f>
        <v>#REF!</v>
      </c>
    </row>
    <row r="41" spans="1:23" ht="15.5" x14ac:dyDescent="0.35">
      <c r="A41" s="49"/>
      <c r="B41" s="50"/>
      <c r="C41" s="51" t="s">
        <v>27</v>
      </c>
      <c r="D41" s="52" t="s">
        <v>190</v>
      </c>
      <c r="E41" s="40"/>
      <c r="F41" s="48"/>
      <c r="G41" s="47"/>
      <c r="H41" s="42">
        <v>25</v>
      </c>
      <c r="I41" s="42" t="s">
        <v>30</v>
      </c>
      <c r="J41" s="42" t="s">
        <v>0</v>
      </c>
      <c r="K41" s="42">
        <v>1</v>
      </c>
      <c r="L41" s="42" t="s">
        <v>28</v>
      </c>
      <c r="M41" s="42" t="s">
        <v>0</v>
      </c>
      <c r="N41" s="42">
        <v>1</v>
      </c>
      <c r="O41" s="42" t="s">
        <v>1</v>
      </c>
      <c r="P41" s="44"/>
      <c r="Q41" s="45">
        <f>H41*K41*N41</f>
        <v>25</v>
      </c>
      <c r="R41" s="53">
        <v>7950000</v>
      </c>
      <c r="S41" s="185">
        <v>198750000</v>
      </c>
      <c r="T41" s="185">
        <f>Q41*R41</f>
        <v>198750000</v>
      </c>
      <c r="U41" s="292">
        <f>S41-T41</f>
        <v>0</v>
      </c>
      <c r="V41" s="183"/>
      <c r="W41" s="27" t="e">
        <f>#REF!-V41</f>
        <v>#REF!</v>
      </c>
    </row>
    <row r="42" spans="1:23" ht="15.5" x14ac:dyDescent="0.35">
      <c r="A42" s="73">
        <v>522151</v>
      </c>
      <c r="B42" s="74" t="s">
        <v>37</v>
      </c>
      <c r="C42" s="75"/>
      <c r="D42" s="76"/>
      <c r="E42" s="77"/>
      <c r="F42" s="78"/>
      <c r="G42" s="79"/>
      <c r="H42" s="80"/>
      <c r="I42" s="80"/>
      <c r="J42" s="80"/>
      <c r="K42" s="80"/>
      <c r="L42" s="80"/>
      <c r="M42" s="80"/>
      <c r="N42" s="80"/>
      <c r="O42" s="81"/>
      <c r="P42" s="82"/>
      <c r="Q42" s="83"/>
      <c r="R42" s="84"/>
      <c r="S42" s="85">
        <v>73800000</v>
      </c>
      <c r="T42" s="85">
        <f>T43+T44</f>
        <v>73800000</v>
      </c>
      <c r="U42" s="85">
        <f>U43+U44</f>
        <v>0</v>
      </c>
      <c r="V42" s="85" t="e">
        <f>V43+#REF!+#REF!</f>
        <v>#REF!</v>
      </c>
      <c r="W42" s="85" t="e">
        <f>#REF!-V42</f>
        <v>#REF!</v>
      </c>
    </row>
    <row r="43" spans="1:23" ht="15.5" x14ac:dyDescent="0.35">
      <c r="A43" s="49"/>
      <c r="B43" s="50" t="s">
        <v>54</v>
      </c>
      <c r="C43" s="51"/>
      <c r="D43" s="52"/>
      <c r="E43" s="40"/>
      <c r="F43" s="48"/>
      <c r="G43" s="47"/>
      <c r="H43" s="42">
        <v>2</v>
      </c>
      <c r="I43" s="42" t="s">
        <v>30</v>
      </c>
      <c r="J43" s="42" t="s">
        <v>0</v>
      </c>
      <c r="K43" s="42">
        <v>6</v>
      </c>
      <c r="L43" s="42" t="s">
        <v>38</v>
      </c>
      <c r="M43" s="42" t="s">
        <v>0</v>
      </c>
      <c r="N43" s="42">
        <v>5</v>
      </c>
      <c r="O43" s="42" t="s">
        <v>36</v>
      </c>
      <c r="P43" s="71"/>
      <c r="Q43" s="45">
        <f>H43*K43*N43</f>
        <v>60</v>
      </c>
      <c r="R43" s="53">
        <v>900000</v>
      </c>
      <c r="S43" s="185">
        <v>54000000</v>
      </c>
      <c r="T43" s="185">
        <f>Q43*R43</f>
        <v>54000000</v>
      </c>
      <c r="U43" s="292">
        <f t="shared" ref="U43:U44" si="6">S43-T43</f>
        <v>0</v>
      </c>
      <c r="V43" s="27">
        <f>Q43*R43</f>
        <v>54000000</v>
      </c>
      <c r="W43" s="183" t="e">
        <f>#REF!-V43</f>
        <v>#REF!</v>
      </c>
    </row>
    <row r="44" spans="1:23" ht="15.5" x14ac:dyDescent="0.35">
      <c r="A44" s="198"/>
      <c r="B44" s="199" t="s">
        <v>55</v>
      </c>
      <c r="C44" s="200"/>
      <c r="D44" s="28"/>
      <c r="E44" s="201"/>
      <c r="F44" s="202"/>
      <c r="G44" s="203"/>
      <c r="H44" s="204">
        <v>1</v>
      </c>
      <c r="I44" s="204" t="s">
        <v>30</v>
      </c>
      <c r="J44" s="204" t="s">
        <v>0</v>
      </c>
      <c r="K44" s="204">
        <v>11</v>
      </c>
      <c r="L44" s="204" t="s">
        <v>28</v>
      </c>
      <c r="M44" s="205" t="s">
        <v>0</v>
      </c>
      <c r="N44" s="205">
        <v>1</v>
      </c>
      <c r="O44" s="205" t="s">
        <v>1</v>
      </c>
      <c r="P44" s="206"/>
      <c r="Q44" s="207">
        <f>H44*K44*N44</f>
        <v>11</v>
      </c>
      <c r="R44" s="194">
        <v>1800000</v>
      </c>
      <c r="S44" s="208">
        <v>19800000</v>
      </c>
      <c r="T44" s="185">
        <f>Q44*R44</f>
        <v>19800000</v>
      </c>
      <c r="U44" s="292">
        <f t="shared" si="6"/>
        <v>0</v>
      </c>
      <c r="V44" s="27">
        <f>Q44*R44</f>
        <v>19800000</v>
      </c>
      <c r="W44" s="183" t="e">
        <f>#REF!-V44</f>
        <v>#REF!</v>
      </c>
    </row>
    <row r="45" spans="1:23" ht="15.5" x14ac:dyDescent="0.35">
      <c r="A45" s="209"/>
      <c r="B45" s="210"/>
      <c r="C45" s="210"/>
      <c r="D45" s="210"/>
      <c r="E45" s="211"/>
      <c r="F45" s="212"/>
      <c r="G45" s="213"/>
      <c r="H45" s="214"/>
      <c r="I45" s="214"/>
      <c r="J45" s="214"/>
      <c r="K45" s="214"/>
      <c r="L45" s="214"/>
      <c r="M45" s="215"/>
      <c r="N45" s="215"/>
      <c r="O45" s="215"/>
      <c r="P45" s="216"/>
      <c r="Q45" s="217"/>
      <c r="R45" s="218"/>
      <c r="S45" s="219"/>
      <c r="T45" s="219"/>
      <c r="U45" s="219"/>
      <c r="V45" s="197"/>
      <c r="W45" s="196"/>
    </row>
    <row r="46" spans="1:23" ht="15.5" x14ac:dyDescent="0.35">
      <c r="A46" s="220"/>
      <c r="B46" s="221"/>
      <c r="C46" s="221"/>
      <c r="D46" s="221"/>
      <c r="E46" s="222"/>
      <c r="F46" s="223"/>
      <c r="G46" s="224"/>
      <c r="H46" s="225"/>
      <c r="I46" s="225"/>
      <c r="J46" s="225"/>
      <c r="K46" s="225"/>
      <c r="L46" s="225"/>
      <c r="M46" s="226"/>
      <c r="N46" s="226"/>
      <c r="O46" s="226"/>
      <c r="P46" s="227"/>
      <c r="Q46" s="228"/>
      <c r="R46" s="229"/>
      <c r="S46" s="230"/>
      <c r="T46" s="230"/>
      <c r="U46" s="230"/>
      <c r="V46" s="197"/>
      <c r="W46" s="196"/>
    </row>
    <row r="47" spans="1:23" ht="15" customHeight="1" x14ac:dyDescent="0.35">
      <c r="A47" s="345" t="s">
        <v>16</v>
      </c>
      <c r="B47" s="352" t="s">
        <v>2</v>
      </c>
      <c r="C47" s="353"/>
      <c r="D47" s="353"/>
      <c r="E47" s="354"/>
      <c r="F47" s="358" t="s">
        <v>3</v>
      </c>
      <c r="G47" s="358" t="s">
        <v>4</v>
      </c>
      <c r="H47" s="360" t="s">
        <v>5</v>
      </c>
      <c r="I47" s="361"/>
      <c r="J47" s="361"/>
      <c r="K47" s="361"/>
      <c r="L47" s="361"/>
      <c r="M47" s="361"/>
      <c r="N47" s="361"/>
      <c r="O47" s="361"/>
      <c r="P47" s="361"/>
      <c r="Q47" s="362"/>
      <c r="R47" s="358" t="s">
        <v>6</v>
      </c>
      <c r="S47" s="345" t="s">
        <v>7</v>
      </c>
      <c r="T47" s="345" t="s">
        <v>7</v>
      </c>
      <c r="U47" s="345" t="s">
        <v>7</v>
      </c>
      <c r="V47" s="345" t="s">
        <v>153</v>
      </c>
      <c r="W47" s="345" t="s">
        <v>150</v>
      </c>
    </row>
    <row r="48" spans="1:23" ht="30.75" customHeight="1" x14ac:dyDescent="0.35">
      <c r="A48" s="346"/>
      <c r="B48" s="355"/>
      <c r="C48" s="356"/>
      <c r="D48" s="356"/>
      <c r="E48" s="357"/>
      <c r="F48" s="359"/>
      <c r="G48" s="359"/>
      <c r="H48" s="33"/>
      <c r="I48" s="34"/>
      <c r="J48" s="34"/>
      <c r="K48" s="34"/>
      <c r="L48" s="34"/>
      <c r="M48" s="34"/>
      <c r="N48" s="34"/>
      <c r="O48" s="34"/>
      <c r="P48" s="35"/>
      <c r="Q48" s="36" t="s">
        <v>8</v>
      </c>
      <c r="R48" s="359"/>
      <c r="S48" s="346"/>
      <c r="T48" s="346"/>
      <c r="U48" s="346"/>
      <c r="V48" s="346"/>
      <c r="W48" s="346"/>
    </row>
    <row r="49" spans="1:23" ht="15.75" customHeight="1" x14ac:dyDescent="0.35">
      <c r="A49" s="37">
        <v>1</v>
      </c>
      <c r="B49" s="349">
        <v>2</v>
      </c>
      <c r="C49" s="350"/>
      <c r="D49" s="350"/>
      <c r="E49" s="38"/>
      <c r="F49" s="37">
        <v>3</v>
      </c>
      <c r="G49" s="37">
        <v>4</v>
      </c>
      <c r="H49" s="349">
        <v>5</v>
      </c>
      <c r="I49" s="350"/>
      <c r="J49" s="350"/>
      <c r="K49" s="350"/>
      <c r="L49" s="350"/>
      <c r="M49" s="350"/>
      <c r="N49" s="350"/>
      <c r="O49" s="350"/>
      <c r="P49" s="351"/>
      <c r="Q49" s="39"/>
      <c r="R49" s="37">
        <v>6</v>
      </c>
      <c r="S49" s="37">
        <v>7</v>
      </c>
      <c r="T49" s="37">
        <v>7</v>
      </c>
      <c r="U49" s="37">
        <v>7</v>
      </c>
      <c r="V49" s="37">
        <v>7</v>
      </c>
      <c r="W49" s="37">
        <v>7</v>
      </c>
    </row>
    <row r="50" spans="1:23" ht="15.5" x14ac:dyDescent="0.35">
      <c r="A50" s="305">
        <v>524114</v>
      </c>
      <c r="B50" s="74" t="s">
        <v>43</v>
      </c>
      <c r="C50" s="75"/>
      <c r="D50" s="76"/>
      <c r="E50" s="77"/>
      <c r="F50" s="78"/>
      <c r="G50" s="79"/>
      <c r="H50" s="80"/>
      <c r="I50" s="80"/>
      <c r="J50" s="80"/>
      <c r="K50" s="80"/>
      <c r="L50" s="80"/>
      <c r="M50" s="80"/>
      <c r="N50" s="80"/>
      <c r="O50" s="81"/>
      <c r="P50" s="82"/>
      <c r="Q50" s="83"/>
      <c r="R50" s="84"/>
      <c r="S50" s="186">
        <f>S51</f>
        <v>99505000</v>
      </c>
      <c r="T50" s="186">
        <f>T51</f>
        <v>99505000</v>
      </c>
      <c r="U50" s="186">
        <f>U51</f>
        <v>0</v>
      </c>
      <c r="V50" s="85"/>
      <c r="W50" s="85"/>
    </row>
    <row r="51" spans="1:23" ht="15.5" x14ac:dyDescent="0.35">
      <c r="A51" s="49"/>
      <c r="B51" s="86" t="s">
        <v>26</v>
      </c>
      <c r="C51" s="87" t="s">
        <v>39</v>
      </c>
      <c r="D51" s="88"/>
      <c r="E51" s="89"/>
      <c r="F51" s="90"/>
      <c r="G51" s="91"/>
      <c r="H51" s="92"/>
      <c r="I51" s="92"/>
      <c r="J51" s="92"/>
      <c r="K51" s="92"/>
      <c r="L51" s="92"/>
      <c r="M51" s="92"/>
      <c r="N51" s="92"/>
      <c r="O51" s="92"/>
      <c r="P51" s="93"/>
      <c r="Q51" s="94"/>
      <c r="R51" s="95"/>
      <c r="S51" s="184">
        <f>SUM(S52:S55)</f>
        <v>99505000</v>
      </c>
      <c r="T51" s="184">
        <f>SUM(T52:T55)</f>
        <v>99505000</v>
      </c>
      <c r="U51" s="184">
        <f>SUM(U52:U55)</f>
        <v>0</v>
      </c>
      <c r="V51" s="96" t="e">
        <f>#REF!+#REF!+#REF!+#REF!</f>
        <v>#REF!</v>
      </c>
      <c r="W51" s="96" t="e">
        <f>#REF!-V51</f>
        <v>#REF!</v>
      </c>
    </row>
    <row r="52" spans="1:23" ht="15.5" x14ac:dyDescent="0.35">
      <c r="A52" s="49"/>
      <c r="B52" s="50"/>
      <c r="C52" s="51" t="s">
        <v>27</v>
      </c>
      <c r="D52" s="52" t="s">
        <v>154</v>
      </c>
      <c r="E52" s="40"/>
      <c r="F52" s="48"/>
      <c r="G52" s="47"/>
      <c r="H52" s="42">
        <v>4</v>
      </c>
      <c r="I52" s="42" t="s">
        <v>30</v>
      </c>
      <c r="J52" s="42" t="s">
        <v>0</v>
      </c>
      <c r="K52" s="42">
        <v>6</v>
      </c>
      <c r="L52" s="42" t="s">
        <v>42</v>
      </c>
      <c r="M52" s="42" t="s">
        <v>0</v>
      </c>
      <c r="N52" s="42">
        <v>1</v>
      </c>
      <c r="O52" s="42" t="s">
        <v>13</v>
      </c>
      <c r="P52" s="44"/>
      <c r="Q52" s="45">
        <f>H52*K52*N52</f>
        <v>24</v>
      </c>
      <c r="R52" s="53">
        <v>170000</v>
      </c>
      <c r="S52" s="185">
        <v>4080000</v>
      </c>
      <c r="T52" s="185">
        <f>Q52*R52</f>
        <v>4080000</v>
      </c>
      <c r="U52" s="292">
        <f t="shared" ref="U52:U55" si="7">S52-T52</f>
        <v>0</v>
      </c>
      <c r="V52" s="183">
        <v>0</v>
      </c>
      <c r="W52" s="27" t="e">
        <f>#REF!-V52</f>
        <v>#REF!</v>
      </c>
    </row>
    <row r="53" spans="1:23" ht="15.5" x14ac:dyDescent="0.35">
      <c r="A53" s="49"/>
      <c r="B53" s="50"/>
      <c r="C53" s="51" t="s">
        <v>31</v>
      </c>
      <c r="D53" s="52" t="s">
        <v>156</v>
      </c>
      <c r="E53" s="40"/>
      <c r="F53" s="48"/>
      <c r="G53" s="47"/>
      <c r="H53" s="42">
        <v>1</v>
      </c>
      <c r="I53" s="42" t="s">
        <v>40</v>
      </c>
      <c r="J53" s="42" t="s">
        <v>0</v>
      </c>
      <c r="K53" s="42">
        <v>5</v>
      </c>
      <c r="L53" s="42" t="s">
        <v>41</v>
      </c>
      <c r="M53" s="42" t="s">
        <v>0</v>
      </c>
      <c r="N53" s="42">
        <v>1</v>
      </c>
      <c r="O53" s="42" t="s">
        <v>13</v>
      </c>
      <c r="P53" s="44"/>
      <c r="Q53" s="45">
        <f>H53*K53*N53</f>
        <v>5</v>
      </c>
      <c r="R53" s="53">
        <v>730000</v>
      </c>
      <c r="S53" s="185">
        <v>3650000</v>
      </c>
      <c r="T53" s="185">
        <f t="shared" ref="T53:T55" si="8">Q53*R53</f>
        <v>3650000</v>
      </c>
      <c r="U53" s="292">
        <f t="shared" si="7"/>
        <v>0</v>
      </c>
      <c r="V53" s="27"/>
      <c r="W53" s="27"/>
    </row>
    <row r="54" spans="1:23" ht="15.5" x14ac:dyDescent="0.35">
      <c r="A54" s="49"/>
      <c r="B54" s="50"/>
      <c r="C54" s="51" t="s">
        <v>33</v>
      </c>
      <c r="D54" s="52" t="s">
        <v>155</v>
      </c>
      <c r="E54" s="40"/>
      <c r="F54" s="48"/>
      <c r="G54" s="47"/>
      <c r="H54" s="42">
        <f>25+4+2</f>
        <v>31</v>
      </c>
      <c r="I54" s="42" t="s">
        <v>30</v>
      </c>
      <c r="J54" s="42" t="s">
        <v>0</v>
      </c>
      <c r="K54" s="42">
        <v>5</v>
      </c>
      <c r="L54" s="42" t="s">
        <v>42</v>
      </c>
      <c r="M54" s="42" t="s">
        <v>0</v>
      </c>
      <c r="N54" s="42">
        <v>1</v>
      </c>
      <c r="O54" s="42" t="s">
        <v>13</v>
      </c>
      <c r="P54" s="44"/>
      <c r="Q54" s="45">
        <f>H54*K54*N54</f>
        <v>155</v>
      </c>
      <c r="R54" s="53">
        <v>455000</v>
      </c>
      <c r="S54" s="185">
        <v>70525000</v>
      </c>
      <c r="T54" s="185">
        <f t="shared" si="8"/>
        <v>70525000</v>
      </c>
      <c r="U54" s="292">
        <f t="shared" si="7"/>
        <v>0</v>
      </c>
      <c r="V54" s="183">
        <v>0</v>
      </c>
      <c r="W54" s="27" t="e">
        <f>#REF!-V54</f>
        <v>#REF!</v>
      </c>
    </row>
    <row r="55" spans="1:23" ht="15.5" x14ac:dyDescent="0.35">
      <c r="A55" s="49"/>
      <c r="B55" s="50"/>
      <c r="C55" s="51" t="s">
        <v>34</v>
      </c>
      <c r="D55" s="52" t="s">
        <v>126</v>
      </c>
      <c r="E55" s="40"/>
      <c r="F55" s="48"/>
      <c r="G55" s="47"/>
      <c r="H55" s="42">
        <v>25</v>
      </c>
      <c r="I55" s="42" t="s">
        <v>30</v>
      </c>
      <c r="J55" s="42" t="s">
        <v>0</v>
      </c>
      <c r="K55" s="42">
        <v>5</v>
      </c>
      <c r="L55" s="42" t="s">
        <v>42</v>
      </c>
      <c r="M55" s="42" t="s">
        <v>0</v>
      </c>
      <c r="N55" s="42">
        <v>1</v>
      </c>
      <c r="O55" s="42" t="s">
        <v>13</v>
      </c>
      <c r="P55" s="44"/>
      <c r="Q55" s="45">
        <f>H55*K55*N55</f>
        <v>125</v>
      </c>
      <c r="R55" s="53">
        <v>170000</v>
      </c>
      <c r="S55" s="185">
        <v>21250000</v>
      </c>
      <c r="T55" s="185">
        <f t="shared" si="8"/>
        <v>21250000</v>
      </c>
      <c r="U55" s="292">
        <f t="shared" si="7"/>
        <v>0</v>
      </c>
      <c r="V55" s="27"/>
      <c r="W55" s="27"/>
    </row>
    <row r="56" spans="1:23" ht="15.5" x14ac:dyDescent="0.35">
      <c r="A56" s="305">
        <v>524119</v>
      </c>
      <c r="B56" s="74" t="s">
        <v>44</v>
      </c>
      <c r="C56" s="75"/>
      <c r="D56" s="76"/>
      <c r="E56" s="77"/>
      <c r="F56" s="78"/>
      <c r="G56" s="79"/>
      <c r="H56" s="80"/>
      <c r="I56" s="80"/>
      <c r="J56" s="80"/>
      <c r="K56" s="80"/>
      <c r="L56" s="80"/>
      <c r="M56" s="80"/>
      <c r="N56" s="80"/>
      <c r="O56" s="81"/>
      <c r="P56" s="82"/>
      <c r="Q56" s="83"/>
      <c r="R56" s="84"/>
      <c r="S56" s="85">
        <f>S57</f>
        <v>60346000</v>
      </c>
      <c r="T56" s="85">
        <f t="shared" ref="T56:U56" si="9">T57</f>
        <v>60346000</v>
      </c>
      <c r="U56" s="85">
        <f t="shared" si="9"/>
        <v>0</v>
      </c>
      <c r="V56" s="85"/>
      <c r="W56" s="85"/>
    </row>
    <row r="57" spans="1:23" ht="15.5" x14ac:dyDescent="0.35">
      <c r="A57" s="49"/>
      <c r="B57" s="86" t="s">
        <v>26</v>
      </c>
      <c r="C57" s="87" t="s">
        <v>205</v>
      </c>
      <c r="D57" s="88"/>
      <c r="E57" s="89"/>
      <c r="F57" s="90"/>
      <c r="G57" s="91"/>
      <c r="H57" s="92"/>
      <c r="I57" s="92"/>
      <c r="J57" s="92"/>
      <c r="K57" s="92"/>
      <c r="L57" s="92"/>
      <c r="M57" s="92"/>
      <c r="N57" s="92"/>
      <c r="O57" s="92"/>
      <c r="P57" s="93"/>
      <c r="Q57" s="94"/>
      <c r="R57" s="95"/>
      <c r="S57" s="96">
        <f>S58+S62</f>
        <v>60346000</v>
      </c>
      <c r="T57" s="96">
        <f>T58+T62</f>
        <v>60346000</v>
      </c>
      <c r="U57" s="96">
        <f>U58+U62</f>
        <v>0</v>
      </c>
      <c r="V57" s="96"/>
      <c r="W57" s="96"/>
    </row>
    <row r="58" spans="1:23" ht="15.5" x14ac:dyDescent="0.35">
      <c r="A58" s="49"/>
      <c r="B58" s="50" t="s">
        <v>157</v>
      </c>
      <c r="C58" s="51" t="s">
        <v>158</v>
      </c>
      <c r="D58" s="52"/>
      <c r="E58" s="40"/>
      <c r="F58" s="48"/>
      <c r="G58" s="47"/>
      <c r="H58" s="42"/>
      <c r="I58" s="42"/>
      <c r="J58" s="42"/>
      <c r="K58" s="42"/>
      <c r="L58" s="42"/>
      <c r="M58" s="42"/>
      <c r="N58" s="42"/>
      <c r="O58" s="42"/>
      <c r="P58" s="44"/>
      <c r="Q58" s="45"/>
      <c r="R58" s="53"/>
      <c r="S58" s="70">
        <f>SUM(S59:S61)</f>
        <v>39664000</v>
      </c>
      <c r="T58" s="70">
        <f>SUM(T59:T61)</f>
        <v>39664000</v>
      </c>
      <c r="U58" s="292">
        <f t="shared" ref="U58:U61" si="10">S58-T58</f>
        <v>0</v>
      </c>
      <c r="V58" s="27"/>
      <c r="W58" s="27"/>
    </row>
    <row r="59" spans="1:23" ht="15.5" x14ac:dyDescent="0.35">
      <c r="A59" s="49"/>
      <c r="B59" s="50"/>
      <c r="C59" s="51" t="s">
        <v>27</v>
      </c>
      <c r="D59" s="52" t="s">
        <v>45</v>
      </c>
      <c r="E59" s="40"/>
      <c r="F59" s="48"/>
      <c r="G59" s="47"/>
      <c r="H59" s="42">
        <v>5</v>
      </c>
      <c r="I59" s="42" t="s">
        <v>30</v>
      </c>
      <c r="J59" s="42" t="s">
        <v>0</v>
      </c>
      <c r="K59" s="42">
        <v>10</v>
      </c>
      <c r="L59" s="42" t="s">
        <v>36</v>
      </c>
      <c r="M59" s="42" t="s">
        <v>0</v>
      </c>
      <c r="N59" s="42">
        <v>1</v>
      </c>
      <c r="O59" s="42" t="s">
        <v>1</v>
      </c>
      <c r="P59" s="44"/>
      <c r="Q59" s="45">
        <f>H59*K59*N59</f>
        <v>50</v>
      </c>
      <c r="R59" s="53">
        <v>430000</v>
      </c>
      <c r="S59" s="27">
        <v>21500000</v>
      </c>
      <c r="T59" s="27">
        <f>Q59*R59</f>
        <v>21500000</v>
      </c>
      <c r="U59" s="292">
        <f t="shared" si="10"/>
        <v>0</v>
      </c>
      <c r="V59" s="27"/>
      <c r="W59" s="27"/>
    </row>
    <row r="60" spans="1:23" ht="15.5" x14ac:dyDescent="0.35">
      <c r="A60" s="49"/>
      <c r="B60" s="50"/>
      <c r="C60" s="51" t="s">
        <v>31</v>
      </c>
      <c r="D60" s="52" t="s">
        <v>46</v>
      </c>
      <c r="E60" s="40"/>
      <c r="F60" s="48"/>
      <c r="G60" s="47"/>
      <c r="H60" s="42">
        <v>3</v>
      </c>
      <c r="I60" s="42" t="s">
        <v>40</v>
      </c>
      <c r="J60" s="42" t="s">
        <v>0</v>
      </c>
      <c r="K60" s="42">
        <v>8</v>
      </c>
      <c r="L60" s="42" t="s">
        <v>41</v>
      </c>
      <c r="M60" s="42" t="s">
        <v>0</v>
      </c>
      <c r="N60" s="42">
        <v>1</v>
      </c>
      <c r="O60" s="42" t="s">
        <v>1</v>
      </c>
      <c r="P60" s="44"/>
      <c r="Q60" s="45">
        <f>H60*K60*N60</f>
        <v>24</v>
      </c>
      <c r="R60" s="53">
        <v>686000</v>
      </c>
      <c r="S60" s="27">
        <v>16464000</v>
      </c>
      <c r="T60" s="27">
        <f t="shared" ref="T60:T61" si="11">Q60*R60</f>
        <v>16464000</v>
      </c>
      <c r="U60" s="292">
        <f t="shared" si="10"/>
        <v>0</v>
      </c>
      <c r="V60" s="27"/>
      <c r="W60" s="27"/>
    </row>
    <row r="61" spans="1:23" ht="15.5" x14ac:dyDescent="0.35">
      <c r="A61" s="49"/>
      <c r="B61" s="50"/>
      <c r="C61" s="51" t="s">
        <v>33</v>
      </c>
      <c r="D61" s="52" t="s">
        <v>127</v>
      </c>
      <c r="E61" s="40"/>
      <c r="F61" s="48"/>
      <c r="G61" s="47"/>
      <c r="H61" s="42">
        <v>5</v>
      </c>
      <c r="I61" s="42" t="s">
        <v>30</v>
      </c>
      <c r="J61" s="42" t="s">
        <v>0</v>
      </c>
      <c r="K61" s="42">
        <v>2</v>
      </c>
      <c r="L61" s="42" t="s">
        <v>42</v>
      </c>
      <c r="M61" s="42" t="s">
        <v>0</v>
      </c>
      <c r="N61" s="42">
        <v>1</v>
      </c>
      <c r="O61" s="42" t="s">
        <v>1</v>
      </c>
      <c r="P61" s="44"/>
      <c r="Q61" s="45">
        <f>H61*K61*N61</f>
        <v>10</v>
      </c>
      <c r="R61" s="53">
        <v>170000</v>
      </c>
      <c r="S61" s="27">
        <v>1700000</v>
      </c>
      <c r="T61" s="27">
        <f t="shared" si="11"/>
        <v>1700000</v>
      </c>
      <c r="U61" s="292">
        <f t="shared" si="10"/>
        <v>0</v>
      </c>
      <c r="V61" s="27"/>
      <c r="W61" s="27"/>
    </row>
    <row r="62" spans="1:23" ht="15.5" x14ac:dyDescent="0.35">
      <c r="A62" s="49"/>
      <c r="B62" s="50" t="s">
        <v>29</v>
      </c>
      <c r="C62" s="51" t="s">
        <v>152</v>
      </c>
      <c r="D62" s="52"/>
      <c r="E62" s="40"/>
      <c r="F62" s="48"/>
      <c r="G62" s="47"/>
      <c r="H62" s="42"/>
      <c r="I62" s="42"/>
      <c r="J62" s="42"/>
      <c r="K62" s="42"/>
      <c r="L62" s="42"/>
      <c r="M62" s="42"/>
      <c r="N62" s="42"/>
      <c r="O62" s="42"/>
      <c r="P62" s="44"/>
      <c r="Q62" s="45"/>
      <c r="R62" s="53"/>
      <c r="S62" s="70">
        <f>SUM(S63:S65)</f>
        <v>20682000</v>
      </c>
      <c r="T62" s="70">
        <f>SUM(T63:T65)</f>
        <v>20682000</v>
      </c>
      <c r="U62" s="70">
        <f>SUM(U63:U65)</f>
        <v>0</v>
      </c>
      <c r="V62" s="27"/>
      <c r="W62" s="27"/>
    </row>
    <row r="63" spans="1:23" ht="15.5" x14ac:dyDescent="0.35">
      <c r="A63" s="49"/>
      <c r="B63" s="50"/>
      <c r="C63" s="51" t="s">
        <v>27</v>
      </c>
      <c r="D63" s="52" t="s">
        <v>45</v>
      </c>
      <c r="E63" s="40"/>
      <c r="F63" s="48"/>
      <c r="G63" s="47"/>
      <c r="H63" s="42">
        <v>5</v>
      </c>
      <c r="I63" s="42" t="s">
        <v>30</v>
      </c>
      <c r="J63" s="42" t="s">
        <v>0</v>
      </c>
      <c r="K63" s="42">
        <v>5</v>
      </c>
      <c r="L63" s="42" t="s">
        <v>36</v>
      </c>
      <c r="M63" s="42" t="s">
        <v>0</v>
      </c>
      <c r="N63" s="42">
        <v>1</v>
      </c>
      <c r="O63" s="42" t="s">
        <v>1</v>
      </c>
      <c r="P63" s="44"/>
      <c r="Q63" s="45">
        <f>H63*K63*N63</f>
        <v>25</v>
      </c>
      <c r="R63" s="53">
        <v>430000</v>
      </c>
      <c r="S63" s="27">
        <v>10750000</v>
      </c>
      <c r="T63" s="27">
        <f>Q63*R63</f>
        <v>10750000</v>
      </c>
      <c r="U63" s="292">
        <f t="shared" ref="U63:U65" si="12">S63-T63</f>
        <v>0</v>
      </c>
      <c r="V63" s="27"/>
      <c r="W63" s="27"/>
    </row>
    <row r="64" spans="1:23" ht="15.5" x14ac:dyDescent="0.35">
      <c r="A64" s="49"/>
      <c r="B64" s="50"/>
      <c r="C64" s="51" t="s">
        <v>31</v>
      </c>
      <c r="D64" s="52" t="s">
        <v>46</v>
      </c>
      <c r="E64" s="40"/>
      <c r="F64" s="48"/>
      <c r="G64" s="47"/>
      <c r="H64" s="42">
        <v>3</v>
      </c>
      <c r="I64" s="42" t="s">
        <v>40</v>
      </c>
      <c r="J64" s="42" t="s">
        <v>0</v>
      </c>
      <c r="K64" s="42">
        <v>4</v>
      </c>
      <c r="L64" s="42" t="s">
        <v>41</v>
      </c>
      <c r="M64" s="42" t="s">
        <v>0</v>
      </c>
      <c r="N64" s="42">
        <v>1</v>
      </c>
      <c r="O64" s="42" t="s">
        <v>1</v>
      </c>
      <c r="P64" s="44"/>
      <c r="Q64" s="45">
        <f>H64*K64*N64</f>
        <v>12</v>
      </c>
      <c r="R64" s="53">
        <v>686000</v>
      </c>
      <c r="S64" s="27">
        <v>8232000</v>
      </c>
      <c r="T64" s="27">
        <f t="shared" ref="T64:T65" si="13">Q64*R64</f>
        <v>8232000</v>
      </c>
      <c r="U64" s="292">
        <f t="shared" si="12"/>
        <v>0</v>
      </c>
      <c r="V64" s="27"/>
      <c r="W64" s="27"/>
    </row>
    <row r="65" spans="1:23" ht="15.5" x14ac:dyDescent="0.35">
      <c r="A65" s="49"/>
      <c r="B65" s="50"/>
      <c r="C65" s="51" t="s">
        <v>33</v>
      </c>
      <c r="D65" s="52" t="s">
        <v>127</v>
      </c>
      <c r="E65" s="40"/>
      <c r="F65" s="48"/>
      <c r="G65" s="47"/>
      <c r="H65" s="42">
        <v>5</v>
      </c>
      <c r="I65" s="42" t="s">
        <v>30</v>
      </c>
      <c r="J65" s="42" t="s">
        <v>0</v>
      </c>
      <c r="K65" s="42">
        <v>2</v>
      </c>
      <c r="L65" s="42" t="s">
        <v>42</v>
      </c>
      <c r="M65" s="42" t="s">
        <v>0</v>
      </c>
      <c r="N65" s="42">
        <v>1</v>
      </c>
      <c r="O65" s="42" t="s">
        <v>1</v>
      </c>
      <c r="P65" s="44"/>
      <c r="Q65" s="45">
        <f>H65*K65*N65</f>
        <v>10</v>
      </c>
      <c r="R65" s="53">
        <v>170000</v>
      </c>
      <c r="S65" s="27">
        <v>1700000</v>
      </c>
      <c r="T65" s="27">
        <f t="shared" si="13"/>
        <v>1700000</v>
      </c>
      <c r="U65" s="292">
        <f t="shared" si="12"/>
        <v>0</v>
      </c>
      <c r="V65" s="27"/>
      <c r="W65" s="27"/>
    </row>
    <row r="66" spans="1:23" ht="15.5" x14ac:dyDescent="0.35">
      <c r="A66" s="97" t="s">
        <v>47</v>
      </c>
      <c r="B66" s="98" t="s">
        <v>48</v>
      </c>
      <c r="C66" s="99"/>
      <c r="D66" s="100"/>
      <c r="E66" s="101"/>
      <c r="F66" s="102"/>
      <c r="G66" s="103"/>
      <c r="H66" s="104"/>
      <c r="I66" s="104"/>
      <c r="J66" s="104"/>
      <c r="K66" s="104"/>
      <c r="L66" s="104"/>
      <c r="M66" s="104"/>
      <c r="N66" s="104"/>
      <c r="O66" s="105"/>
      <c r="P66" s="106"/>
      <c r="Q66" s="107"/>
      <c r="R66" s="108"/>
      <c r="S66" s="112">
        <f>S67+S105+S110+S125+S139+S129</f>
        <v>319708000</v>
      </c>
      <c r="T66" s="112">
        <f>T67+T105+T110+T125+T139+T129</f>
        <v>319708000</v>
      </c>
      <c r="U66" s="340">
        <f>U67+U105+U110+U125+U139+U129</f>
        <v>0</v>
      </c>
      <c r="V66" s="112"/>
      <c r="W66" s="112"/>
    </row>
    <row r="67" spans="1:23" ht="15.5" x14ac:dyDescent="0.35">
      <c r="A67" s="305">
        <v>521211</v>
      </c>
      <c r="B67" s="74" t="s">
        <v>52</v>
      </c>
      <c r="C67" s="75"/>
      <c r="D67" s="76"/>
      <c r="E67" s="77"/>
      <c r="F67" s="78"/>
      <c r="G67" s="79"/>
      <c r="H67" s="80"/>
      <c r="I67" s="80"/>
      <c r="J67" s="80"/>
      <c r="K67" s="80"/>
      <c r="L67" s="80"/>
      <c r="M67" s="80"/>
      <c r="N67" s="80"/>
      <c r="O67" s="81"/>
      <c r="P67" s="82"/>
      <c r="Q67" s="83"/>
      <c r="R67" s="84"/>
      <c r="S67" s="85">
        <f>S68+S72+S95</f>
        <v>53487000</v>
      </c>
      <c r="T67" s="85">
        <f t="shared" ref="T67:U67" si="14">T68+T72+T95</f>
        <v>54223000</v>
      </c>
      <c r="U67" s="85">
        <f t="shared" si="14"/>
        <v>-736000</v>
      </c>
      <c r="V67" s="85"/>
      <c r="W67" s="85"/>
    </row>
    <row r="68" spans="1:23" ht="15.5" x14ac:dyDescent="0.35">
      <c r="A68" s="49"/>
      <c r="B68" s="86" t="s">
        <v>26</v>
      </c>
      <c r="C68" s="87" t="s">
        <v>128</v>
      </c>
      <c r="D68" s="88"/>
      <c r="E68" s="89"/>
      <c r="F68" s="90"/>
      <c r="G68" s="91"/>
      <c r="H68" s="92"/>
      <c r="I68" s="92"/>
      <c r="J68" s="92"/>
      <c r="K68" s="92"/>
      <c r="L68" s="92"/>
      <c r="M68" s="92"/>
      <c r="N68" s="92"/>
      <c r="O68" s="92"/>
      <c r="P68" s="93"/>
      <c r="Q68" s="94"/>
      <c r="R68" s="95"/>
      <c r="S68" s="96">
        <f>SUM(S69:S71)</f>
        <v>1786000</v>
      </c>
      <c r="T68" s="96">
        <f>SUM(T69:T71)</f>
        <v>1786000</v>
      </c>
      <c r="U68" s="96">
        <f>SUM(U69:U71)</f>
        <v>0</v>
      </c>
      <c r="V68" s="96"/>
      <c r="W68" s="96"/>
    </row>
    <row r="69" spans="1:23" ht="15.5" x14ac:dyDescent="0.35">
      <c r="A69" s="49"/>
      <c r="B69" s="50"/>
      <c r="C69" s="51" t="s">
        <v>27</v>
      </c>
      <c r="D69" s="52" t="s">
        <v>129</v>
      </c>
      <c r="E69" s="40"/>
      <c r="F69" s="48"/>
      <c r="G69" s="47"/>
      <c r="H69" s="42">
        <v>1</v>
      </c>
      <c r="I69" s="42" t="s">
        <v>28</v>
      </c>
      <c r="J69" s="72" t="s">
        <v>0</v>
      </c>
      <c r="K69" s="72">
        <v>1</v>
      </c>
      <c r="L69" s="72" t="s">
        <v>28</v>
      </c>
      <c r="M69" s="72" t="s">
        <v>0</v>
      </c>
      <c r="N69" s="72">
        <v>1</v>
      </c>
      <c r="O69" s="72" t="s">
        <v>1</v>
      </c>
      <c r="P69" s="44"/>
      <c r="Q69" s="45">
        <f>H69*K69*N69</f>
        <v>1</v>
      </c>
      <c r="R69" s="53">
        <v>575000</v>
      </c>
      <c r="S69" s="27">
        <v>575000</v>
      </c>
      <c r="T69" s="27">
        <f>Q69*R69</f>
        <v>575000</v>
      </c>
      <c r="U69" s="292">
        <f t="shared" ref="U69:U71" si="15">S69-T69</f>
        <v>0</v>
      </c>
      <c r="V69" s="27"/>
      <c r="W69" s="27"/>
    </row>
    <row r="70" spans="1:23" ht="15.5" x14ac:dyDescent="0.35">
      <c r="A70" s="49"/>
      <c r="B70" s="50"/>
      <c r="C70" s="51" t="s">
        <v>31</v>
      </c>
      <c r="D70" s="52" t="s">
        <v>130</v>
      </c>
      <c r="E70" s="40"/>
      <c r="F70" s="48"/>
      <c r="G70" s="47"/>
      <c r="H70" s="42">
        <v>2000</v>
      </c>
      <c r="I70" s="42" t="s">
        <v>131</v>
      </c>
      <c r="J70" s="72" t="s">
        <v>0</v>
      </c>
      <c r="K70" s="72">
        <v>1</v>
      </c>
      <c r="L70" s="72" t="s">
        <v>28</v>
      </c>
      <c r="M70" s="72" t="s">
        <v>0</v>
      </c>
      <c r="N70" s="72">
        <v>1</v>
      </c>
      <c r="O70" s="72" t="s">
        <v>1</v>
      </c>
      <c r="P70" s="44"/>
      <c r="Q70" s="45">
        <f>H70*K70*N70</f>
        <v>2000</v>
      </c>
      <c r="R70" s="53">
        <v>500</v>
      </c>
      <c r="S70" s="27">
        <v>1001000</v>
      </c>
      <c r="T70" s="27">
        <v>1001000</v>
      </c>
      <c r="U70" s="292">
        <f t="shared" si="15"/>
        <v>0</v>
      </c>
      <c r="V70" s="27"/>
      <c r="W70" s="27"/>
    </row>
    <row r="71" spans="1:23" ht="15.5" x14ac:dyDescent="0.35">
      <c r="A71" s="198"/>
      <c r="B71" s="199"/>
      <c r="C71" s="200" t="s">
        <v>33</v>
      </c>
      <c r="D71" s="200" t="s">
        <v>132</v>
      </c>
      <c r="E71" s="201"/>
      <c r="F71" s="202"/>
      <c r="G71" s="203"/>
      <c r="H71" s="3">
        <v>6</v>
      </c>
      <c r="I71" s="3" t="s">
        <v>133</v>
      </c>
      <c r="J71" s="205" t="s">
        <v>0</v>
      </c>
      <c r="K71" s="205">
        <v>1</v>
      </c>
      <c r="L71" s="205" t="s">
        <v>28</v>
      </c>
      <c r="M71" s="205" t="s">
        <v>0</v>
      </c>
      <c r="N71" s="205">
        <v>1</v>
      </c>
      <c r="O71" s="205" t="s">
        <v>1</v>
      </c>
      <c r="P71" s="231"/>
      <c r="Q71" s="207">
        <f>H71*K71*N71</f>
        <v>6</v>
      </c>
      <c r="R71" s="194">
        <v>35000</v>
      </c>
      <c r="S71" s="208">
        <v>210000</v>
      </c>
      <c r="T71" s="27">
        <f t="shared" ref="T71" si="16">Q71*R71</f>
        <v>210000</v>
      </c>
      <c r="U71" s="292">
        <f t="shared" si="15"/>
        <v>0</v>
      </c>
      <c r="V71" s="27"/>
      <c r="W71" s="27"/>
    </row>
    <row r="72" spans="1:23" ht="15.5" x14ac:dyDescent="0.35">
      <c r="A72" s="49"/>
      <c r="B72" s="318" t="s">
        <v>29</v>
      </c>
      <c r="C72" s="319" t="s">
        <v>134</v>
      </c>
      <c r="D72" s="319"/>
      <c r="E72" s="89"/>
      <c r="F72" s="90"/>
      <c r="G72" s="91"/>
      <c r="H72" s="92"/>
      <c r="I72" s="92"/>
      <c r="J72" s="92"/>
      <c r="K72" s="92"/>
      <c r="L72" s="92"/>
      <c r="M72" s="92"/>
      <c r="N72" s="92"/>
      <c r="O72" s="92"/>
      <c r="P72" s="93"/>
      <c r="Q72" s="94"/>
      <c r="R72" s="320"/>
      <c r="S72" s="96">
        <f>S73</f>
        <v>12213000</v>
      </c>
      <c r="T72" s="96">
        <f>T73</f>
        <v>12949000</v>
      </c>
      <c r="U72" s="306">
        <f>U73</f>
        <v>-736000</v>
      </c>
      <c r="V72" s="96"/>
      <c r="W72" s="96"/>
    </row>
    <row r="73" spans="1:23" ht="15.5" x14ac:dyDescent="0.35">
      <c r="A73" s="49"/>
      <c r="B73" s="109"/>
      <c r="C73" s="67" t="s">
        <v>27</v>
      </c>
      <c r="D73" s="67" t="s">
        <v>139</v>
      </c>
      <c r="E73" s="69"/>
      <c r="F73" s="41"/>
      <c r="G73" s="26"/>
      <c r="H73" s="43"/>
      <c r="I73" s="43"/>
      <c r="J73" s="43"/>
      <c r="K73" s="43"/>
      <c r="L73" s="43"/>
      <c r="M73" s="43"/>
      <c r="N73" s="43"/>
      <c r="O73" s="43"/>
      <c r="P73" s="44"/>
      <c r="Q73" s="110"/>
      <c r="R73" s="238"/>
      <c r="S73" s="187">
        <f>SUM(S74:S81,S87:S94)</f>
        <v>12213000</v>
      </c>
      <c r="T73" s="187">
        <f>SUM(T74:T81,T87:T94)</f>
        <v>12949000</v>
      </c>
      <c r="U73" s="310">
        <f>SUM(U74:U81,U87:U94)</f>
        <v>-736000</v>
      </c>
      <c r="V73" s="70"/>
      <c r="W73" s="70"/>
    </row>
    <row r="74" spans="1:23" ht="15.5" x14ac:dyDescent="0.35">
      <c r="A74" s="49"/>
      <c r="B74" s="109"/>
      <c r="C74" s="177"/>
      <c r="D74" s="178" t="s">
        <v>140</v>
      </c>
      <c r="E74" s="69"/>
      <c r="F74" s="41"/>
      <c r="G74" s="26"/>
      <c r="H74" s="160">
        <v>2</v>
      </c>
      <c r="I74" s="160" t="s">
        <v>12</v>
      </c>
      <c r="J74" s="160" t="s">
        <v>0</v>
      </c>
      <c r="K74" s="160">
        <v>1</v>
      </c>
      <c r="L74" s="160" t="s">
        <v>28</v>
      </c>
      <c r="M74" s="160" t="s">
        <v>0</v>
      </c>
      <c r="N74" s="160">
        <v>1</v>
      </c>
      <c r="O74" s="160" t="s">
        <v>135</v>
      </c>
      <c r="P74" s="44"/>
      <c r="Q74" s="45">
        <f>H74*K74*N74</f>
        <v>2</v>
      </c>
      <c r="R74" s="155">
        <v>56000</v>
      </c>
      <c r="S74" s="185">
        <v>112000</v>
      </c>
      <c r="T74" s="185">
        <f>Q74*R74</f>
        <v>112000</v>
      </c>
      <c r="U74" s="293">
        <f t="shared" ref="U74:U81" si="17">S74-T74</f>
        <v>0</v>
      </c>
      <c r="V74" s="70"/>
      <c r="W74" s="70"/>
    </row>
    <row r="75" spans="1:23" ht="15.5" x14ac:dyDescent="0.35">
      <c r="A75" s="49"/>
      <c r="B75" s="109"/>
      <c r="C75" s="177"/>
      <c r="D75" s="178" t="s">
        <v>141</v>
      </c>
      <c r="E75" s="69"/>
      <c r="F75" s="41"/>
      <c r="G75" s="26"/>
      <c r="H75" s="160">
        <v>3</v>
      </c>
      <c r="I75" s="160" t="s">
        <v>12</v>
      </c>
      <c r="J75" s="160" t="s">
        <v>0</v>
      </c>
      <c r="K75" s="160">
        <v>1</v>
      </c>
      <c r="L75" s="160" t="s">
        <v>28</v>
      </c>
      <c r="M75" s="160" t="s">
        <v>0</v>
      </c>
      <c r="N75" s="160">
        <v>1</v>
      </c>
      <c r="O75" s="160" t="s">
        <v>135</v>
      </c>
      <c r="P75" s="44"/>
      <c r="Q75" s="45">
        <f>H75*K75*N75</f>
        <v>3</v>
      </c>
      <c r="R75" s="155">
        <v>67000</v>
      </c>
      <c r="S75" s="185">
        <v>201000</v>
      </c>
      <c r="T75" s="185">
        <f t="shared" ref="T75:T81" si="18">Q75*R75</f>
        <v>201000</v>
      </c>
      <c r="U75" s="293">
        <f t="shared" si="17"/>
        <v>0</v>
      </c>
      <c r="V75" s="70"/>
      <c r="W75" s="70"/>
    </row>
    <row r="76" spans="1:23" ht="15.5" x14ac:dyDescent="0.35">
      <c r="A76" s="49"/>
      <c r="B76" s="109"/>
      <c r="C76" s="177"/>
      <c r="D76" s="178" t="s">
        <v>170</v>
      </c>
      <c r="E76" s="69"/>
      <c r="F76" s="41"/>
      <c r="G76" s="26"/>
      <c r="H76" s="160">
        <v>8</v>
      </c>
      <c r="I76" s="160" t="s">
        <v>136</v>
      </c>
      <c r="J76" s="160" t="s">
        <v>0</v>
      </c>
      <c r="K76" s="160">
        <v>1</v>
      </c>
      <c r="L76" s="160" t="s">
        <v>28</v>
      </c>
      <c r="M76" s="160" t="s">
        <v>0</v>
      </c>
      <c r="N76" s="160">
        <v>1</v>
      </c>
      <c r="O76" s="160" t="s">
        <v>135</v>
      </c>
      <c r="P76" s="44"/>
      <c r="Q76" s="45">
        <f>H76*K76*N76</f>
        <v>8</v>
      </c>
      <c r="R76" s="155">
        <v>150000</v>
      </c>
      <c r="S76" s="185">
        <v>1200000</v>
      </c>
      <c r="T76" s="185">
        <f t="shared" si="18"/>
        <v>1200000</v>
      </c>
      <c r="U76" s="292">
        <f t="shared" si="17"/>
        <v>0</v>
      </c>
      <c r="V76" s="70"/>
      <c r="W76" s="70"/>
    </row>
    <row r="77" spans="1:23" ht="15.5" x14ac:dyDescent="0.35">
      <c r="A77" s="49"/>
      <c r="B77" s="109"/>
      <c r="C77" s="177"/>
      <c r="D77" s="178" t="s">
        <v>142</v>
      </c>
      <c r="E77" s="69"/>
      <c r="F77" s="41"/>
      <c r="G77" s="26"/>
      <c r="H77" s="160">
        <v>3</v>
      </c>
      <c r="I77" s="160" t="s">
        <v>51</v>
      </c>
      <c r="J77" s="160" t="s">
        <v>0</v>
      </c>
      <c r="K77" s="160">
        <v>1</v>
      </c>
      <c r="L77" s="160" t="s">
        <v>28</v>
      </c>
      <c r="M77" s="160" t="s">
        <v>0</v>
      </c>
      <c r="N77" s="160">
        <v>1</v>
      </c>
      <c r="O77" s="160" t="s">
        <v>135</v>
      </c>
      <c r="P77" s="44"/>
      <c r="Q77" s="45">
        <f>H77*K77*N77</f>
        <v>3</v>
      </c>
      <c r="R77" s="155">
        <v>75000</v>
      </c>
      <c r="S77" s="185">
        <v>225000</v>
      </c>
      <c r="T77" s="185">
        <f t="shared" si="18"/>
        <v>225000</v>
      </c>
      <c r="U77" s="292">
        <f t="shared" si="17"/>
        <v>0</v>
      </c>
      <c r="V77" s="70"/>
      <c r="W77" s="70"/>
    </row>
    <row r="78" spans="1:23" ht="15.5" x14ac:dyDescent="0.35">
      <c r="A78" s="49"/>
      <c r="B78" s="109"/>
      <c r="C78" s="177"/>
      <c r="D78" s="178" t="s">
        <v>180</v>
      </c>
      <c r="E78" s="69"/>
      <c r="F78" s="41"/>
      <c r="G78" s="26"/>
      <c r="H78" s="160">
        <v>4</v>
      </c>
      <c r="I78" s="160" t="s">
        <v>136</v>
      </c>
      <c r="J78" s="160" t="s">
        <v>0</v>
      </c>
      <c r="K78" s="160">
        <v>1</v>
      </c>
      <c r="L78" s="160" t="s">
        <v>28</v>
      </c>
      <c r="M78" s="160" t="s">
        <v>0</v>
      </c>
      <c r="N78" s="160">
        <v>1</v>
      </c>
      <c r="O78" s="160" t="s">
        <v>135</v>
      </c>
      <c r="P78" s="44"/>
      <c r="Q78" s="45">
        <f>H78*K78*N78</f>
        <v>4</v>
      </c>
      <c r="R78" s="155">
        <v>20000</v>
      </c>
      <c r="S78" s="185">
        <v>80000</v>
      </c>
      <c r="T78" s="185">
        <f t="shared" si="18"/>
        <v>80000</v>
      </c>
      <c r="U78" s="292">
        <f t="shared" si="17"/>
        <v>0</v>
      </c>
      <c r="V78" s="70"/>
      <c r="W78" s="70"/>
    </row>
    <row r="79" spans="1:23" ht="15.5" x14ac:dyDescent="0.35">
      <c r="A79" s="49"/>
      <c r="B79" s="109"/>
      <c r="C79" s="177"/>
      <c r="D79" s="178" t="s">
        <v>143</v>
      </c>
      <c r="E79" s="69"/>
      <c r="F79" s="41"/>
      <c r="G79" s="26"/>
      <c r="H79" s="160">
        <v>3</v>
      </c>
      <c r="I79" s="160" t="s">
        <v>137</v>
      </c>
      <c r="J79" s="160" t="s">
        <v>0</v>
      </c>
      <c r="K79" s="160">
        <v>1</v>
      </c>
      <c r="L79" s="160" t="s">
        <v>28</v>
      </c>
      <c r="M79" s="160" t="s">
        <v>0</v>
      </c>
      <c r="N79" s="160">
        <v>1</v>
      </c>
      <c r="O79" s="160" t="s">
        <v>135</v>
      </c>
      <c r="P79" s="44"/>
      <c r="Q79" s="45">
        <f t="shared" ref="Q79:Q81" si="19">H79*K79*N79</f>
        <v>3</v>
      </c>
      <c r="R79" s="155">
        <v>18000</v>
      </c>
      <c r="S79" s="185">
        <v>54000</v>
      </c>
      <c r="T79" s="185">
        <f t="shared" si="18"/>
        <v>54000</v>
      </c>
      <c r="U79" s="292">
        <f t="shared" si="17"/>
        <v>0</v>
      </c>
      <c r="V79" s="70"/>
      <c r="W79" s="70"/>
    </row>
    <row r="80" spans="1:23" ht="15.5" x14ac:dyDescent="0.35">
      <c r="A80" s="49"/>
      <c r="B80" s="109"/>
      <c r="C80" s="177"/>
      <c r="D80" s="178" t="s">
        <v>181</v>
      </c>
      <c r="E80" s="69"/>
      <c r="F80" s="41"/>
      <c r="G80" s="26"/>
      <c r="H80" s="160">
        <v>4</v>
      </c>
      <c r="I80" s="160" t="s">
        <v>138</v>
      </c>
      <c r="J80" s="160" t="s">
        <v>0</v>
      </c>
      <c r="K80" s="160">
        <v>1</v>
      </c>
      <c r="L80" s="160" t="s">
        <v>28</v>
      </c>
      <c r="M80" s="160" t="s">
        <v>0</v>
      </c>
      <c r="N80" s="160">
        <v>1</v>
      </c>
      <c r="O80" s="160" t="s">
        <v>135</v>
      </c>
      <c r="P80" s="44"/>
      <c r="Q80" s="45">
        <f t="shared" si="19"/>
        <v>4</v>
      </c>
      <c r="R80" s="155">
        <v>15000</v>
      </c>
      <c r="S80" s="185">
        <v>60000</v>
      </c>
      <c r="T80" s="185">
        <f t="shared" si="18"/>
        <v>60000</v>
      </c>
      <c r="U80" s="292">
        <f t="shared" si="17"/>
        <v>0</v>
      </c>
      <c r="V80" s="70"/>
      <c r="W80" s="70"/>
    </row>
    <row r="81" spans="1:23" ht="15.5" x14ac:dyDescent="0.35">
      <c r="A81" s="239"/>
      <c r="B81" s="240"/>
      <c r="C81" s="241"/>
      <c r="D81" s="242" t="s">
        <v>182</v>
      </c>
      <c r="E81" s="243"/>
      <c r="F81" s="244"/>
      <c r="G81" s="245"/>
      <c r="H81" s="246">
        <v>10</v>
      </c>
      <c r="I81" s="246" t="s">
        <v>14</v>
      </c>
      <c r="J81" s="246" t="s">
        <v>0</v>
      </c>
      <c r="K81" s="246">
        <v>1</v>
      </c>
      <c r="L81" s="246" t="s">
        <v>28</v>
      </c>
      <c r="M81" s="246" t="s">
        <v>0</v>
      </c>
      <c r="N81" s="246">
        <v>1</v>
      </c>
      <c r="O81" s="246" t="s">
        <v>135</v>
      </c>
      <c r="P81" s="247"/>
      <c r="Q81" s="248">
        <f t="shared" si="19"/>
        <v>10</v>
      </c>
      <c r="R81" s="287">
        <v>14000</v>
      </c>
      <c r="S81" s="249">
        <v>140000</v>
      </c>
      <c r="T81" s="185">
        <f t="shared" si="18"/>
        <v>140000</v>
      </c>
      <c r="U81" s="292">
        <f t="shared" si="17"/>
        <v>0</v>
      </c>
      <c r="V81" s="70"/>
      <c r="W81" s="70"/>
    </row>
    <row r="82" spans="1:23" ht="15.5" x14ac:dyDescent="0.35">
      <c r="A82" s="233"/>
      <c r="B82" s="28"/>
      <c r="C82" s="28"/>
      <c r="D82" s="28"/>
      <c r="E82" s="234"/>
      <c r="F82" s="12"/>
      <c r="G82" s="235"/>
      <c r="H82" s="3"/>
      <c r="I82" s="3"/>
      <c r="J82" s="193"/>
      <c r="K82" s="193"/>
      <c r="L82" s="193"/>
      <c r="M82" s="193"/>
      <c r="N82" s="193"/>
      <c r="O82" s="193"/>
      <c r="P82" s="4"/>
      <c r="Q82" s="5"/>
      <c r="R82" s="236"/>
      <c r="S82" s="6"/>
      <c r="T82" s="6"/>
      <c r="U82" s="6"/>
      <c r="V82" s="197"/>
      <c r="W82" s="195"/>
    </row>
    <row r="83" spans="1:23" ht="15.5" x14ac:dyDescent="0.35">
      <c r="A83" s="220"/>
      <c r="B83" s="221"/>
      <c r="C83" s="221"/>
      <c r="D83" s="221"/>
      <c r="E83" s="222"/>
      <c r="F83" s="223"/>
      <c r="G83" s="224"/>
      <c r="H83" s="225"/>
      <c r="I83" s="225"/>
      <c r="J83" s="226"/>
      <c r="K83" s="226"/>
      <c r="L83" s="226"/>
      <c r="M83" s="226"/>
      <c r="N83" s="226"/>
      <c r="O83" s="226"/>
      <c r="P83" s="237"/>
      <c r="Q83" s="228"/>
      <c r="R83" s="229"/>
      <c r="S83" s="230"/>
      <c r="T83" s="230"/>
      <c r="U83" s="230"/>
      <c r="V83" s="197"/>
      <c r="W83" s="195"/>
    </row>
    <row r="84" spans="1:23" ht="15" customHeight="1" x14ac:dyDescent="0.35">
      <c r="A84" s="345" t="s">
        <v>16</v>
      </c>
      <c r="B84" s="352" t="s">
        <v>2</v>
      </c>
      <c r="C84" s="353"/>
      <c r="D84" s="353"/>
      <c r="E84" s="354"/>
      <c r="F84" s="358" t="s">
        <v>3</v>
      </c>
      <c r="G84" s="358" t="s">
        <v>4</v>
      </c>
      <c r="H84" s="360" t="s">
        <v>5</v>
      </c>
      <c r="I84" s="361"/>
      <c r="J84" s="361"/>
      <c r="K84" s="361"/>
      <c r="L84" s="361"/>
      <c r="M84" s="361"/>
      <c r="N84" s="361"/>
      <c r="O84" s="361"/>
      <c r="P84" s="361"/>
      <c r="Q84" s="362"/>
      <c r="R84" s="358" t="s">
        <v>6</v>
      </c>
      <c r="S84" s="345" t="s">
        <v>7</v>
      </c>
      <c r="T84" s="345" t="s">
        <v>7</v>
      </c>
      <c r="U84" s="345" t="s">
        <v>7</v>
      </c>
      <c r="V84" s="345" t="s">
        <v>153</v>
      </c>
      <c r="W84" s="345" t="s">
        <v>150</v>
      </c>
    </row>
    <row r="85" spans="1:23" ht="30.75" customHeight="1" x14ac:dyDescent="0.35">
      <c r="A85" s="346"/>
      <c r="B85" s="355"/>
      <c r="C85" s="356"/>
      <c r="D85" s="356"/>
      <c r="E85" s="357"/>
      <c r="F85" s="359"/>
      <c r="G85" s="359"/>
      <c r="H85" s="33"/>
      <c r="I85" s="34"/>
      <c r="J85" s="34"/>
      <c r="K85" s="34"/>
      <c r="L85" s="34"/>
      <c r="M85" s="34"/>
      <c r="N85" s="34"/>
      <c r="O85" s="34"/>
      <c r="P85" s="35"/>
      <c r="Q85" s="36" t="s">
        <v>8</v>
      </c>
      <c r="R85" s="359"/>
      <c r="S85" s="346"/>
      <c r="T85" s="346"/>
      <c r="U85" s="346"/>
      <c r="V85" s="346"/>
      <c r="W85" s="346"/>
    </row>
    <row r="86" spans="1:23" ht="15.75" customHeight="1" x14ac:dyDescent="0.35">
      <c r="A86" s="37">
        <v>1</v>
      </c>
      <c r="B86" s="349">
        <v>2</v>
      </c>
      <c r="C86" s="350"/>
      <c r="D86" s="350"/>
      <c r="E86" s="38"/>
      <c r="F86" s="37">
        <v>3</v>
      </c>
      <c r="G86" s="37">
        <v>4</v>
      </c>
      <c r="H86" s="349">
        <v>5</v>
      </c>
      <c r="I86" s="350"/>
      <c r="J86" s="350"/>
      <c r="K86" s="350"/>
      <c r="L86" s="350"/>
      <c r="M86" s="350"/>
      <c r="N86" s="350"/>
      <c r="O86" s="350"/>
      <c r="P86" s="351"/>
      <c r="Q86" s="39"/>
      <c r="R86" s="37">
        <v>6</v>
      </c>
      <c r="S86" s="37">
        <v>7</v>
      </c>
      <c r="T86" s="37">
        <v>7</v>
      </c>
      <c r="U86" s="37">
        <v>7</v>
      </c>
      <c r="V86" s="37">
        <v>7</v>
      </c>
      <c r="W86" s="37">
        <v>7</v>
      </c>
    </row>
    <row r="87" spans="1:23" ht="15.5" x14ac:dyDescent="0.35">
      <c r="A87" s="49"/>
      <c r="B87" s="109"/>
      <c r="C87" s="177"/>
      <c r="D87" s="178" t="s">
        <v>144</v>
      </c>
      <c r="E87" s="69"/>
      <c r="F87" s="41"/>
      <c r="G87" s="26"/>
      <c r="H87" s="160">
        <v>1</v>
      </c>
      <c r="I87" s="160" t="s">
        <v>14</v>
      </c>
      <c r="J87" s="160" t="s">
        <v>0</v>
      </c>
      <c r="K87" s="160">
        <v>1</v>
      </c>
      <c r="L87" s="160" t="s">
        <v>28</v>
      </c>
      <c r="M87" s="160" t="s">
        <v>0</v>
      </c>
      <c r="N87" s="160">
        <v>1</v>
      </c>
      <c r="O87" s="160" t="s">
        <v>135</v>
      </c>
      <c r="P87" s="44"/>
      <c r="Q87" s="45">
        <f t="shared" ref="Q87:Q94" si="20">H87*K87*N87</f>
        <v>1</v>
      </c>
      <c r="R87" s="155">
        <v>350000</v>
      </c>
      <c r="S87" s="185">
        <v>350000</v>
      </c>
      <c r="T87" s="185">
        <f>Q87*R87</f>
        <v>350000</v>
      </c>
      <c r="U87" s="292">
        <f t="shared" ref="U87:U93" si="21">S87-T87</f>
        <v>0</v>
      </c>
      <c r="V87" s="70"/>
      <c r="W87" s="70"/>
    </row>
    <row r="88" spans="1:23" ht="15.5" x14ac:dyDescent="0.35">
      <c r="A88" s="49"/>
      <c r="B88" s="109"/>
      <c r="C88" s="177"/>
      <c r="D88" s="178" t="s">
        <v>145</v>
      </c>
      <c r="E88" s="69"/>
      <c r="F88" s="41"/>
      <c r="G88" s="26"/>
      <c r="H88" s="160">
        <v>1</v>
      </c>
      <c r="I88" s="160" t="s">
        <v>14</v>
      </c>
      <c r="J88" s="160" t="s">
        <v>0</v>
      </c>
      <c r="K88" s="160">
        <v>1</v>
      </c>
      <c r="L88" s="160" t="s">
        <v>28</v>
      </c>
      <c r="M88" s="160" t="s">
        <v>0</v>
      </c>
      <c r="N88" s="160">
        <v>1</v>
      </c>
      <c r="O88" s="160" t="s">
        <v>135</v>
      </c>
      <c r="P88" s="44"/>
      <c r="Q88" s="45">
        <f t="shared" si="20"/>
        <v>1</v>
      </c>
      <c r="R88" s="155">
        <v>564000</v>
      </c>
      <c r="S88" s="185">
        <v>564000</v>
      </c>
      <c r="T88" s="185">
        <f t="shared" ref="T88:T94" si="22">Q88*R88</f>
        <v>564000</v>
      </c>
      <c r="U88" s="292">
        <f t="shared" si="21"/>
        <v>0</v>
      </c>
      <c r="V88" s="70"/>
      <c r="W88" s="70"/>
    </row>
    <row r="89" spans="1:23" ht="15.5" x14ac:dyDescent="0.35">
      <c r="A89" s="49"/>
      <c r="B89" s="109"/>
      <c r="C89" s="177"/>
      <c r="D89" s="178" t="s">
        <v>146</v>
      </c>
      <c r="E89" s="69"/>
      <c r="F89" s="41"/>
      <c r="G89" s="26"/>
      <c r="H89" s="160">
        <v>2</v>
      </c>
      <c r="I89" s="160" t="s">
        <v>14</v>
      </c>
      <c r="J89" s="160" t="s">
        <v>0</v>
      </c>
      <c r="K89" s="160">
        <v>1</v>
      </c>
      <c r="L89" s="160" t="s">
        <v>28</v>
      </c>
      <c r="M89" s="160" t="s">
        <v>0</v>
      </c>
      <c r="N89" s="160">
        <v>1</v>
      </c>
      <c r="O89" s="160" t="s">
        <v>135</v>
      </c>
      <c r="P89" s="44"/>
      <c r="Q89" s="45">
        <f t="shared" si="20"/>
        <v>2</v>
      </c>
      <c r="R89" s="155">
        <v>813000</v>
      </c>
      <c r="S89" s="185">
        <v>1626000</v>
      </c>
      <c r="T89" s="185">
        <f t="shared" si="22"/>
        <v>1626000</v>
      </c>
      <c r="U89" s="292">
        <f t="shared" si="21"/>
        <v>0</v>
      </c>
      <c r="V89" s="70"/>
      <c r="W89" s="70"/>
    </row>
    <row r="90" spans="1:23" ht="15.5" x14ac:dyDescent="0.35">
      <c r="A90" s="49"/>
      <c r="B90" s="109"/>
      <c r="C90" s="177"/>
      <c r="D90" s="178" t="s">
        <v>183</v>
      </c>
      <c r="E90" s="69"/>
      <c r="F90" s="41"/>
      <c r="G90" s="26"/>
      <c r="H90" s="160">
        <v>25</v>
      </c>
      <c r="I90" s="160" t="s">
        <v>14</v>
      </c>
      <c r="J90" s="160" t="s">
        <v>0</v>
      </c>
      <c r="K90" s="160">
        <v>1</v>
      </c>
      <c r="L90" s="160" t="s">
        <v>28</v>
      </c>
      <c r="M90" s="160" t="s">
        <v>0</v>
      </c>
      <c r="N90" s="160">
        <v>1</v>
      </c>
      <c r="O90" s="160" t="s">
        <v>135</v>
      </c>
      <c r="P90" s="44"/>
      <c r="Q90" s="45">
        <f t="shared" si="20"/>
        <v>25</v>
      </c>
      <c r="R90" s="155">
        <v>30000</v>
      </c>
      <c r="S90" s="185">
        <v>750000</v>
      </c>
      <c r="T90" s="185">
        <f t="shared" si="22"/>
        <v>750000</v>
      </c>
      <c r="U90" s="292">
        <f t="shared" si="21"/>
        <v>0</v>
      </c>
      <c r="V90" s="70"/>
      <c r="W90" s="70"/>
    </row>
    <row r="91" spans="1:23" ht="15.5" x14ac:dyDescent="0.35">
      <c r="A91" s="49"/>
      <c r="B91" s="109"/>
      <c r="C91" s="177"/>
      <c r="D91" s="178" t="s">
        <v>147</v>
      </c>
      <c r="E91" s="69"/>
      <c r="F91" s="41"/>
      <c r="G91" s="26"/>
      <c r="H91" s="160">
        <v>25</v>
      </c>
      <c r="I91" s="160" t="s">
        <v>14</v>
      </c>
      <c r="J91" s="160" t="s">
        <v>0</v>
      </c>
      <c r="K91" s="160">
        <v>1</v>
      </c>
      <c r="L91" s="160" t="s">
        <v>28</v>
      </c>
      <c r="M91" s="160" t="s">
        <v>0</v>
      </c>
      <c r="N91" s="160">
        <v>1</v>
      </c>
      <c r="O91" s="160" t="s">
        <v>135</v>
      </c>
      <c r="P91" s="44"/>
      <c r="Q91" s="45">
        <f t="shared" si="20"/>
        <v>25</v>
      </c>
      <c r="R91" s="309">
        <v>204400</v>
      </c>
      <c r="S91" s="185">
        <v>4375000</v>
      </c>
      <c r="T91" s="290">
        <f t="shared" si="22"/>
        <v>5110000</v>
      </c>
      <c r="U91" s="291">
        <f t="shared" si="21"/>
        <v>-735000</v>
      </c>
      <c r="V91" s="70"/>
      <c r="W91" s="70"/>
    </row>
    <row r="92" spans="1:23" ht="15.5" x14ac:dyDescent="0.35">
      <c r="A92" s="49"/>
      <c r="B92" s="109"/>
      <c r="C92" s="177"/>
      <c r="D92" s="178" t="s">
        <v>184</v>
      </c>
      <c r="E92" s="69"/>
      <c r="F92" s="41"/>
      <c r="G92" s="26"/>
      <c r="H92" s="160">
        <v>35</v>
      </c>
      <c r="I92" s="160" t="s">
        <v>14</v>
      </c>
      <c r="J92" s="160" t="s">
        <v>0</v>
      </c>
      <c r="K92" s="160">
        <v>1</v>
      </c>
      <c r="L92" s="160" t="s">
        <v>28</v>
      </c>
      <c r="M92" s="160" t="s">
        <v>0</v>
      </c>
      <c r="N92" s="160">
        <v>1</v>
      </c>
      <c r="O92" s="160" t="s">
        <v>135</v>
      </c>
      <c r="P92" s="44"/>
      <c r="Q92" s="45">
        <f t="shared" si="20"/>
        <v>35</v>
      </c>
      <c r="R92" s="155">
        <v>67000</v>
      </c>
      <c r="S92" s="185">
        <v>2345000</v>
      </c>
      <c r="T92" s="185">
        <f t="shared" si="22"/>
        <v>2345000</v>
      </c>
      <c r="U92" s="292">
        <f t="shared" si="21"/>
        <v>0</v>
      </c>
      <c r="V92" s="70"/>
      <c r="W92" s="70"/>
    </row>
    <row r="93" spans="1:23" ht="15.5" x14ac:dyDescent="0.35">
      <c r="A93" s="49"/>
      <c r="B93" s="109"/>
      <c r="C93" s="177"/>
      <c r="D93" s="178" t="s">
        <v>185</v>
      </c>
      <c r="E93" s="69"/>
      <c r="F93" s="41"/>
      <c r="G93" s="26"/>
      <c r="H93" s="160">
        <v>4</v>
      </c>
      <c r="I93" s="160" t="s">
        <v>49</v>
      </c>
      <c r="J93" s="160" t="s">
        <v>0</v>
      </c>
      <c r="K93" s="160">
        <v>1</v>
      </c>
      <c r="L93" s="160" t="s">
        <v>28</v>
      </c>
      <c r="M93" s="160" t="s">
        <v>0</v>
      </c>
      <c r="N93" s="160">
        <v>1</v>
      </c>
      <c r="O93" s="160" t="s">
        <v>135</v>
      </c>
      <c r="P93" s="44"/>
      <c r="Q93" s="45">
        <f t="shared" si="20"/>
        <v>4</v>
      </c>
      <c r="R93" s="155">
        <v>24000</v>
      </c>
      <c r="S93" s="185">
        <v>96000</v>
      </c>
      <c r="T93" s="185">
        <f t="shared" si="22"/>
        <v>96000</v>
      </c>
      <c r="U93" s="292">
        <f t="shared" si="21"/>
        <v>0</v>
      </c>
      <c r="V93" s="70"/>
      <c r="W93" s="70"/>
    </row>
    <row r="94" spans="1:23" ht="15.5" x14ac:dyDescent="0.35">
      <c r="A94" s="49"/>
      <c r="B94" s="109"/>
      <c r="C94" s="177"/>
      <c r="D94" s="178" t="s">
        <v>171</v>
      </c>
      <c r="E94" s="69"/>
      <c r="F94" s="41"/>
      <c r="G94" s="26"/>
      <c r="H94" s="160">
        <v>1</v>
      </c>
      <c r="I94" s="160" t="s">
        <v>51</v>
      </c>
      <c r="J94" s="160" t="s">
        <v>0</v>
      </c>
      <c r="K94" s="160">
        <v>1</v>
      </c>
      <c r="L94" s="160" t="s">
        <v>28</v>
      </c>
      <c r="M94" s="160" t="s">
        <v>0</v>
      </c>
      <c r="N94" s="160">
        <v>1</v>
      </c>
      <c r="O94" s="160" t="s">
        <v>135</v>
      </c>
      <c r="P94" s="44"/>
      <c r="Q94" s="45">
        <f t="shared" si="20"/>
        <v>1</v>
      </c>
      <c r="R94" s="309">
        <v>36000</v>
      </c>
      <c r="S94" s="185">
        <v>35000</v>
      </c>
      <c r="T94" s="290">
        <f t="shared" si="22"/>
        <v>36000</v>
      </c>
      <c r="U94" s="291">
        <f>S94-T94</f>
        <v>-1000</v>
      </c>
      <c r="V94" s="70"/>
      <c r="W94" s="70"/>
    </row>
    <row r="95" spans="1:23" ht="15.5" x14ac:dyDescent="0.35">
      <c r="A95" s="49"/>
      <c r="B95" s="86" t="s">
        <v>32</v>
      </c>
      <c r="C95" s="87" t="s">
        <v>209</v>
      </c>
      <c r="D95" s="88"/>
      <c r="E95" s="89"/>
      <c r="F95" s="90"/>
      <c r="G95" s="91"/>
      <c r="H95" s="92"/>
      <c r="I95" s="92"/>
      <c r="J95" s="92"/>
      <c r="K95" s="92"/>
      <c r="L95" s="92"/>
      <c r="M95" s="92"/>
      <c r="N95" s="92"/>
      <c r="O95" s="92"/>
      <c r="P95" s="93"/>
      <c r="Q95" s="94"/>
      <c r="R95" s="95"/>
      <c r="S95" s="96">
        <f>SUM(S96:S104)</f>
        <v>39488000</v>
      </c>
      <c r="T95" s="96">
        <f>SUM(T96:T104)</f>
        <v>39488000</v>
      </c>
      <c r="U95" s="96">
        <f>SUM(U96:U104)</f>
        <v>0</v>
      </c>
      <c r="V95" s="27"/>
      <c r="W95" s="27"/>
    </row>
    <row r="96" spans="1:23" ht="15.5" x14ac:dyDescent="0.35">
      <c r="A96" s="49"/>
      <c r="B96" s="50"/>
      <c r="C96" s="51" t="s">
        <v>210</v>
      </c>
      <c r="D96" s="51" t="s">
        <v>216</v>
      </c>
      <c r="E96" s="40"/>
      <c r="F96" s="48"/>
      <c r="G96" s="47"/>
      <c r="H96" s="299">
        <v>2</v>
      </c>
      <c r="I96" s="42" t="s">
        <v>211</v>
      </c>
      <c r="J96" s="42" t="s">
        <v>0</v>
      </c>
      <c r="K96" s="42">
        <v>1</v>
      </c>
      <c r="L96" s="42" t="s">
        <v>28</v>
      </c>
      <c r="M96" s="42" t="s">
        <v>0</v>
      </c>
      <c r="N96" s="42">
        <v>1</v>
      </c>
      <c r="O96" s="42" t="s">
        <v>1</v>
      </c>
      <c r="P96" s="44"/>
      <c r="Q96" s="45">
        <f>H96*K96*N96</f>
        <v>2</v>
      </c>
      <c r="R96" s="301">
        <v>2150000</v>
      </c>
      <c r="S96" s="27">
        <v>4300000</v>
      </c>
      <c r="T96" s="27">
        <f>Q96*R96</f>
        <v>4300000</v>
      </c>
      <c r="U96" s="293">
        <f t="shared" ref="U96:U104" si="23">S96-T96</f>
        <v>0</v>
      </c>
      <c r="V96" s="27"/>
      <c r="W96" s="27"/>
    </row>
    <row r="97" spans="1:23" ht="15.5" x14ac:dyDescent="0.35">
      <c r="A97" s="49"/>
      <c r="B97" s="50"/>
      <c r="C97" s="51" t="s">
        <v>31</v>
      </c>
      <c r="D97" s="51" t="s">
        <v>217</v>
      </c>
      <c r="E97" s="40"/>
      <c r="F97" s="48"/>
      <c r="G97" s="47"/>
      <c r="H97" s="299">
        <v>2</v>
      </c>
      <c r="I97" s="42" t="s">
        <v>211</v>
      </c>
      <c r="J97" s="42" t="s">
        <v>0</v>
      </c>
      <c r="K97" s="42">
        <v>1</v>
      </c>
      <c r="L97" s="42" t="s">
        <v>28</v>
      </c>
      <c r="M97" s="42" t="s">
        <v>0</v>
      </c>
      <c r="N97" s="42">
        <v>1</v>
      </c>
      <c r="O97" s="42" t="s">
        <v>1</v>
      </c>
      <c r="P97" s="44"/>
      <c r="Q97" s="45">
        <f>H97*K97*N97</f>
        <v>2</v>
      </c>
      <c r="R97" s="302">
        <v>3210000</v>
      </c>
      <c r="S97" s="27">
        <v>6420000</v>
      </c>
      <c r="T97" s="27">
        <f t="shared" ref="T97:T104" si="24">Q97*R97</f>
        <v>6420000</v>
      </c>
      <c r="U97" s="293">
        <f t="shared" si="23"/>
        <v>0</v>
      </c>
      <c r="V97" s="27"/>
      <c r="W97" s="27"/>
    </row>
    <row r="98" spans="1:23" ht="15.5" x14ac:dyDescent="0.35">
      <c r="A98" s="49"/>
      <c r="B98" s="50"/>
      <c r="C98" s="51" t="s">
        <v>33</v>
      </c>
      <c r="D98" s="51" t="s">
        <v>218</v>
      </c>
      <c r="E98" s="40"/>
      <c r="F98" s="48"/>
      <c r="G98" s="47"/>
      <c r="H98" s="299">
        <v>2</v>
      </c>
      <c r="I98" s="42" t="s">
        <v>211</v>
      </c>
      <c r="J98" s="42" t="s">
        <v>0</v>
      </c>
      <c r="K98" s="42">
        <v>1</v>
      </c>
      <c r="L98" s="42" t="s">
        <v>28</v>
      </c>
      <c r="M98" s="42" t="s">
        <v>0</v>
      </c>
      <c r="N98" s="42">
        <v>1</v>
      </c>
      <c r="O98" s="42" t="s">
        <v>1</v>
      </c>
      <c r="P98" s="44"/>
      <c r="Q98" s="45">
        <f>H98*K98*N98</f>
        <v>2</v>
      </c>
      <c r="R98" s="302">
        <v>3210000</v>
      </c>
      <c r="S98" s="27">
        <v>6420000</v>
      </c>
      <c r="T98" s="27">
        <f t="shared" si="24"/>
        <v>6420000</v>
      </c>
      <c r="U98" s="293">
        <f t="shared" si="23"/>
        <v>0</v>
      </c>
      <c r="V98" s="27"/>
      <c r="W98" s="27"/>
    </row>
    <row r="99" spans="1:23" ht="15.5" x14ac:dyDescent="0.35">
      <c r="A99" s="49"/>
      <c r="B99" s="50"/>
      <c r="C99" s="51" t="s">
        <v>34</v>
      </c>
      <c r="D99" s="51" t="s">
        <v>219</v>
      </c>
      <c r="E99" s="40"/>
      <c r="F99" s="48"/>
      <c r="G99" s="47"/>
      <c r="H99" s="299">
        <v>2</v>
      </c>
      <c r="I99" s="3" t="s">
        <v>211</v>
      </c>
      <c r="J99" s="42" t="s">
        <v>0</v>
      </c>
      <c r="K99" s="42">
        <v>1</v>
      </c>
      <c r="L99" s="42" t="s">
        <v>28</v>
      </c>
      <c r="M99" s="42" t="s">
        <v>0</v>
      </c>
      <c r="N99" s="42">
        <v>1</v>
      </c>
      <c r="O99" s="42" t="s">
        <v>1</v>
      </c>
      <c r="P99" s="44"/>
      <c r="Q99" s="45">
        <f>H99*K99*N99</f>
        <v>2</v>
      </c>
      <c r="R99" s="302">
        <v>3210000</v>
      </c>
      <c r="S99" s="27">
        <v>6420000</v>
      </c>
      <c r="T99" s="27">
        <f t="shared" si="24"/>
        <v>6420000</v>
      </c>
      <c r="U99" s="293">
        <f t="shared" si="23"/>
        <v>0</v>
      </c>
      <c r="V99" s="27"/>
      <c r="W99" s="27"/>
    </row>
    <row r="100" spans="1:23" ht="15.5" x14ac:dyDescent="0.35">
      <c r="A100" s="49"/>
      <c r="B100" s="50"/>
      <c r="C100" s="51" t="s">
        <v>50</v>
      </c>
      <c r="D100" s="51" t="s">
        <v>220</v>
      </c>
      <c r="E100" s="40"/>
      <c r="F100" s="48"/>
      <c r="G100" s="47"/>
      <c r="H100" s="299">
        <v>25</v>
      </c>
      <c r="I100" s="42" t="s">
        <v>12</v>
      </c>
      <c r="J100" s="42" t="s">
        <v>0</v>
      </c>
      <c r="K100" s="42">
        <v>1</v>
      </c>
      <c r="L100" s="42" t="s">
        <v>28</v>
      </c>
      <c r="M100" s="42" t="s">
        <v>0</v>
      </c>
      <c r="N100" s="42">
        <v>1</v>
      </c>
      <c r="O100" s="42" t="s">
        <v>1</v>
      </c>
      <c r="P100" s="44"/>
      <c r="Q100" s="45">
        <f>H100*K99*N99</f>
        <v>25</v>
      </c>
      <c r="R100" s="302">
        <v>56000</v>
      </c>
      <c r="S100" s="27">
        <v>1413000</v>
      </c>
      <c r="T100" s="27">
        <v>1413000</v>
      </c>
      <c r="U100" s="293">
        <f t="shared" si="23"/>
        <v>0</v>
      </c>
      <c r="V100" s="27"/>
      <c r="W100" s="27"/>
    </row>
    <row r="101" spans="1:23" ht="15.5" x14ac:dyDescent="0.35">
      <c r="A101" s="49"/>
      <c r="B101" s="50"/>
      <c r="C101" s="51" t="s">
        <v>212</v>
      </c>
      <c r="D101" s="51" t="s">
        <v>221</v>
      </c>
      <c r="E101" s="40"/>
      <c r="F101" s="48"/>
      <c r="G101" s="47"/>
      <c r="H101" s="299">
        <v>30</v>
      </c>
      <c r="I101" s="42" t="s">
        <v>12</v>
      </c>
      <c r="J101" s="42" t="s">
        <v>0</v>
      </c>
      <c r="K101" s="42">
        <v>1</v>
      </c>
      <c r="L101" s="42" t="s">
        <v>28</v>
      </c>
      <c r="M101" s="42" t="s">
        <v>0</v>
      </c>
      <c r="N101" s="42">
        <v>1</v>
      </c>
      <c r="O101" s="42" t="s">
        <v>1</v>
      </c>
      <c r="P101" s="44"/>
      <c r="Q101" s="45">
        <f>H101*K100*N100</f>
        <v>30</v>
      </c>
      <c r="R101" s="302">
        <v>67000</v>
      </c>
      <c r="S101" s="27">
        <v>2010000</v>
      </c>
      <c r="T101" s="27">
        <f t="shared" si="24"/>
        <v>2010000</v>
      </c>
      <c r="U101" s="293">
        <f t="shared" si="23"/>
        <v>0</v>
      </c>
      <c r="V101" s="27"/>
      <c r="W101" s="27"/>
    </row>
    <row r="102" spans="1:23" ht="15.5" x14ac:dyDescent="0.35">
      <c r="A102" s="49"/>
      <c r="B102" s="50"/>
      <c r="C102" s="51" t="s">
        <v>213</v>
      </c>
      <c r="D102" s="51" t="s">
        <v>222</v>
      </c>
      <c r="E102" s="40"/>
      <c r="F102" s="48"/>
      <c r="G102" s="47"/>
      <c r="H102" s="299">
        <v>300</v>
      </c>
      <c r="I102" s="42" t="s">
        <v>211</v>
      </c>
      <c r="J102" s="42" t="s">
        <v>0</v>
      </c>
      <c r="K102" s="42">
        <v>1</v>
      </c>
      <c r="L102" s="42" t="s">
        <v>28</v>
      </c>
      <c r="M102" s="42" t="s">
        <v>0</v>
      </c>
      <c r="N102" s="42">
        <v>1</v>
      </c>
      <c r="O102" s="42" t="s">
        <v>1</v>
      </c>
      <c r="P102" s="44"/>
      <c r="Q102" s="45">
        <f>H102*K101*N101</f>
        <v>300</v>
      </c>
      <c r="R102" s="302">
        <v>22500</v>
      </c>
      <c r="S102" s="27">
        <v>6750000</v>
      </c>
      <c r="T102" s="27">
        <f t="shared" si="24"/>
        <v>6750000</v>
      </c>
      <c r="U102" s="293">
        <f t="shared" si="23"/>
        <v>0</v>
      </c>
      <c r="V102" s="27"/>
      <c r="W102" s="27"/>
    </row>
    <row r="103" spans="1:23" ht="15.5" x14ac:dyDescent="0.35">
      <c r="A103" s="49"/>
      <c r="B103" s="50"/>
      <c r="C103" s="51" t="s">
        <v>214</v>
      </c>
      <c r="D103" s="51" t="s">
        <v>223</v>
      </c>
      <c r="E103" s="40"/>
      <c r="F103" s="48"/>
      <c r="G103" s="47"/>
      <c r="H103" s="299">
        <v>310</v>
      </c>
      <c r="I103" s="42" t="s">
        <v>211</v>
      </c>
      <c r="J103" s="42" t="s">
        <v>0</v>
      </c>
      <c r="K103" s="42">
        <v>1</v>
      </c>
      <c r="L103" s="42" t="s">
        <v>28</v>
      </c>
      <c r="M103" s="42" t="s">
        <v>0</v>
      </c>
      <c r="N103" s="42">
        <v>1</v>
      </c>
      <c r="O103" s="42" t="s">
        <v>1</v>
      </c>
      <c r="P103" s="44"/>
      <c r="Q103" s="45">
        <f>H103*K103*N103</f>
        <v>310</v>
      </c>
      <c r="R103" s="301">
        <v>10500</v>
      </c>
      <c r="S103" s="27">
        <v>3255000</v>
      </c>
      <c r="T103" s="27">
        <f t="shared" si="24"/>
        <v>3255000</v>
      </c>
      <c r="U103" s="293">
        <f t="shared" si="23"/>
        <v>0</v>
      </c>
      <c r="V103" s="27"/>
      <c r="W103" s="27"/>
    </row>
    <row r="104" spans="1:23" ht="15.5" x14ac:dyDescent="0.35">
      <c r="A104" s="49"/>
      <c r="B104" s="50"/>
      <c r="C104" s="51" t="s">
        <v>215</v>
      </c>
      <c r="D104" s="298" t="s">
        <v>224</v>
      </c>
      <c r="E104" s="40"/>
      <c r="F104" s="48"/>
      <c r="G104" s="47"/>
      <c r="H104" s="300">
        <v>250</v>
      </c>
      <c r="I104" s="42" t="s">
        <v>225</v>
      </c>
      <c r="J104" s="42" t="s">
        <v>0</v>
      </c>
      <c r="K104" s="42">
        <v>1</v>
      </c>
      <c r="L104" s="42" t="s">
        <v>28</v>
      </c>
      <c r="M104" s="42" t="s">
        <v>0</v>
      </c>
      <c r="N104" s="42">
        <v>1</v>
      </c>
      <c r="O104" s="42" t="s">
        <v>1</v>
      </c>
      <c r="P104" s="44"/>
      <c r="Q104" s="45">
        <f>H104*K104*N104</f>
        <v>250</v>
      </c>
      <c r="R104" s="303">
        <v>10000</v>
      </c>
      <c r="S104" s="27">
        <v>2500000</v>
      </c>
      <c r="T104" s="27">
        <f t="shared" si="24"/>
        <v>2500000</v>
      </c>
      <c r="U104" s="293">
        <f t="shared" si="23"/>
        <v>0</v>
      </c>
      <c r="V104" s="27"/>
      <c r="W104" s="27"/>
    </row>
    <row r="105" spans="1:23" ht="15.5" x14ac:dyDescent="0.35">
      <c r="A105" s="305">
        <v>521213</v>
      </c>
      <c r="B105" s="74" t="s">
        <v>35</v>
      </c>
      <c r="C105" s="75"/>
      <c r="D105" s="75"/>
      <c r="E105" s="77"/>
      <c r="F105" s="78"/>
      <c r="G105" s="79"/>
      <c r="H105" s="80"/>
      <c r="I105" s="80"/>
      <c r="J105" s="80"/>
      <c r="K105" s="80"/>
      <c r="L105" s="80"/>
      <c r="M105" s="80"/>
      <c r="N105" s="80"/>
      <c r="O105" s="81"/>
      <c r="P105" s="82"/>
      <c r="Q105" s="83"/>
      <c r="R105" s="286"/>
      <c r="S105" s="85">
        <f>SUM(S106:S109)</f>
        <v>3768000</v>
      </c>
      <c r="T105" s="85">
        <f>SUM(T106:T109)</f>
        <v>3768000</v>
      </c>
      <c r="U105" s="85">
        <f>SUM(U106:U109)</f>
        <v>0</v>
      </c>
      <c r="V105" s="85"/>
      <c r="W105" s="85"/>
    </row>
    <row r="106" spans="1:23" ht="15.5" x14ac:dyDescent="0.35">
      <c r="A106" s="49"/>
      <c r="B106" s="50" t="s">
        <v>186</v>
      </c>
      <c r="C106" s="51"/>
      <c r="D106" s="51"/>
      <c r="E106" s="40"/>
      <c r="F106" s="48"/>
      <c r="G106" s="47"/>
      <c r="H106" s="42">
        <v>3</v>
      </c>
      <c r="I106" s="42" t="s">
        <v>30</v>
      </c>
      <c r="J106" s="42" t="s">
        <v>0</v>
      </c>
      <c r="K106" s="42">
        <v>1</v>
      </c>
      <c r="L106" s="42" t="s">
        <v>28</v>
      </c>
      <c r="M106" s="42"/>
      <c r="N106" s="42"/>
      <c r="O106" s="42"/>
      <c r="P106" s="71"/>
      <c r="Q106" s="45">
        <f>H106*K106</f>
        <v>3</v>
      </c>
      <c r="R106" s="174">
        <v>364000</v>
      </c>
      <c r="S106" s="27">
        <v>1092000</v>
      </c>
      <c r="T106" s="27">
        <f>Q106*R106</f>
        <v>1092000</v>
      </c>
      <c r="U106" s="292">
        <f>S106-T106</f>
        <v>0</v>
      </c>
      <c r="V106" s="27"/>
      <c r="W106" s="27"/>
    </row>
    <row r="107" spans="1:23" ht="15.5" x14ac:dyDescent="0.35">
      <c r="A107" s="49"/>
      <c r="B107" s="50" t="s">
        <v>189</v>
      </c>
      <c r="C107" s="51"/>
      <c r="D107" s="51"/>
      <c r="E107" s="40"/>
      <c r="F107" s="48"/>
      <c r="G107" s="47"/>
      <c r="H107" s="42">
        <v>3</v>
      </c>
      <c r="I107" s="42" t="s">
        <v>30</v>
      </c>
      <c r="J107" s="42" t="s">
        <v>0</v>
      </c>
      <c r="K107" s="42">
        <v>1</v>
      </c>
      <c r="L107" s="42" t="s">
        <v>28</v>
      </c>
      <c r="M107" s="42"/>
      <c r="N107" s="42"/>
      <c r="O107" s="42"/>
      <c r="P107" s="71"/>
      <c r="Q107" s="45">
        <f>H107*K107</f>
        <v>3</v>
      </c>
      <c r="R107" s="174">
        <v>364000</v>
      </c>
      <c r="S107" s="27">
        <v>1092000</v>
      </c>
      <c r="T107" s="27">
        <f>Q107*R107</f>
        <v>1092000</v>
      </c>
      <c r="U107" s="292">
        <f>S107-T107</f>
        <v>0</v>
      </c>
      <c r="V107" s="27"/>
      <c r="W107" s="27"/>
    </row>
    <row r="108" spans="1:23" ht="15.5" x14ac:dyDescent="0.35">
      <c r="A108" s="49"/>
      <c r="B108" s="50" t="s">
        <v>187</v>
      </c>
      <c r="C108" s="51"/>
      <c r="D108" s="51"/>
      <c r="E108" s="40"/>
      <c r="F108" s="48"/>
      <c r="G108" s="47"/>
      <c r="H108" s="42">
        <v>3</v>
      </c>
      <c r="I108" s="42" t="s">
        <v>30</v>
      </c>
      <c r="J108" s="42" t="s">
        <v>0</v>
      </c>
      <c r="K108" s="42">
        <v>1</v>
      </c>
      <c r="L108" s="42" t="s">
        <v>28</v>
      </c>
      <c r="M108" s="42"/>
      <c r="N108" s="42"/>
      <c r="O108" s="42"/>
      <c r="P108" s="71"/>
      <c r="Q108" s="45">
        <f>H108*K108</f>
        <v>3</v>
      </c>
      <c r="R108" s="174">
        <v>288000</v>
      </c>
      <c r="S108" s="27">
        <v>864000</v>
      </c>
      <c r="T108" s="27">
        <f>Q108*R108</f>
        <v>864000</v>
      </c>
      <c r="U108" s="292">
        <f>S108-T108</f>
        <v>0</v>
      </c>
      <c r="V108" s="27"/>
      <c r="W108" s="27"/>
    </row>
    <row r="109" spans="1:23" ht="15.5" x14ac:dyDescent="0.35">
      <c r="A109" s="49"/>
      <c r="B109" s="50" t="s">
        <v>188</v>
      </c>
      <c r="C109" s="51"/>
      <c r="D109" s="51"/>
      <c r="E109" s="40"/>
      <c r="F109" s="48"/>
      <c r="G109" s="47"/>
      <c r="H109" s="42">
        <v>3</v>
      </c>
      <c r="I109" s="42" t="s">
        <v>30</v>
      </c>
      <c r="J109" s="42" t="s">
        <v>0</v>
      </c>
      <c r="K109" s="42">
        <v>1</v>
      </c>
      <c r="L109" s="42" t="s">
        <v>28</v>
      </c>
      <c r="M109" s="42"/>
      <c r="N109" s="42"/>
      <c r="O109" s="42"/>
      <c r="P109" s="71"/>
      <c r="Q109" s="45">
        <f>H109*K109</f>
        <v>3</v>
      </c>
      <c r="R109" s="174">
        <v>240000</v>
      </c>
      <c r="S109" s="27">
        <v>720000</v>
      </c>
      <c r="T109" s="27">
        <f>Q109*R109</f>
        <v>720000</v>
      </c>
      <c r="U109" s="292">
        <f>S109-T109</f>
        <v>0</v>
      </c>
      <c r="V109" s="27"/>
      <c r="W109" s="27"/>
    </row>
    <row r="110" spans="1:23" ht="15.5" x14ac:dyDescent="0.35">
      <c r="A110" s="305">
        <v>524111</v>
      </c>
      <c r="B110" s="294" t="s">
        <v>53</v>
      </c>
      <c r="C110" s="75"/>
      <c r="D110" s="75"/>
      <c r="E110" s="77"/>
      <c r="F110" s="78"/>
      <c r="G110" s="79"/>
      <c r="H110" s="80"/>
      <c r="I110" s="80"/>
      <c r="J110" s="80"/>
      <c r="K110" s="80"/>
      <c r="L110" s="80"/>
      <c r="M110" s="80"/>
      <c r="N110" s="80"/>
      <c r="O110" s="81"/>
      <c r="P110" s="82"/>
      <c r="Q110" s="83"/>
      <c r="R110" s="286"/>
      <c r="S110" s="311">
        <f>S111+S118</f>
        <v>128698000</v>
      </c>
      <c r="T110" s="311">
        <f>T111+T118</f>
        <v>177227000</v>
      </c>
      <c r="U110" s="311">
        <f>U111+U118</f>
        <v>-48529000</v>
      </c>
      <c r="V110" s="85"/>
      <c r="W110" s="85"/>
    </row>
    <row r="111" spans="1:23" ht="15.5" x14ac:dyDescent="0.35">
      <c r="A111" s="49"/>
      <c r="B111" s="50" t="s">
        <v>159</v>
      </c>
      <c r="C111" s="51"/>
      <c r="D111" s="51"/>
      <c r="E111" s="40"/>
      <c r="F111" s="48"/>
      <c r="G111" s="47"/>
      <c r="H111" s="42"/>
      <c r="I111" s="42"/>
      <c r="J111" s="42"/>
      <c r="K111" s="42"/>
      <c r="L111" s="42"/>
      <c r="M111" s="42"/>
      <c r="N111" s="42"/>
      <c r="O111" s="42"/>
      <c r="P111" s="71"/>
      <c r="Q111" s="45"/>
      <c r="R111" s="174">
        <f>SUM(R112:R117)</f>
        <v>1945000</v>
      </c>
      <c r="S111" s="187">
        <f>SUM(S112:S117)</f>
        <v>77800000</v>
      </c>
      <c r="T111" s="187">
        <f>SUM(T112:T117)</f>
        <v>77800000</v>
      </c>
      <c r="U111" s="187">
        <f>SUM(U112:U117)</f>
        <v>0</v>
      </c>
      <c r="V111" s="27"/>
      <c r="W111" s="27"/>
    </row>
    <row r="112" spans="1:23" ht="15.5" x14ac:dyDescent="0.35">
      <c r="A112" s="49"/>
      <c r="B112" s="2"/>
      <c r="C112" s="51" t="s">
        <v>160</v>
      </c>
      <c r="D112" s="51"/>
      <c r="E112" s="40"/>
      <c r="F112" s="48"/>
      <c r="G112" s="47"/>
      <c r="H112" s="42">
        <v>4</v>
      </c>
      <c r="I112" s="42" t="s">
        <v>30</v>
      </c>
      <c r="J112" s="42" t="s">
        <v>0</v>
      </c>
      <c r="K112" s="42">
        <v>2</v>
      </c>
      <c r="L112" s="42" t="s">
        <v>42</v>
      </c>
      <c r="M112" s="42" t="s">
        <v>0</v>
      </c>
      <c r="N112" s="42">
        <v>5</v>
      </c>
      <c r="O112" s="42" t="s">
        <v>13</v>
      </c>
      <c r="P112" s="71"/>
      <c r="Q112" s="45">
        <f t="shared" ref="Q112:Q117" si="25">H112*K112*N112</f>
        <v>40</v>
      </c>
      <c r="R112" s="174">
        <v>275000</v>
      </c>
      <c r="S112" s="27">
        <v>11000000</v>
      </c>
      <c r="T112" s="27">
        <f t="shared" ref="T112:T117" si="26">Q112*R112</f>
        <v>11000000</v>
      </c>
      <c r="U112" s="292">
        <f t="shared" ref="U112:U117" si="27">S112-T112</f>
        <v>0</v>
      </c>
      <c r="V112" s="27"/>
      <c r="W112" s="27"/>
    </row>
    <row r="113" spans="1:23" ht="15.5" x14ac:dyDescent="0.35">
      <c r="A113" s="49"/>
      <c r="B113" s="2"/>
      <c r="C113" s="51" t="s">
        <v>161</v>
      </c>
      <c r="D113" s="51"/>
      <c r="E113" s="40"/>
      <c r="F113" s="48"/>
      <c r="G113" s="47"/>
      <c r="H113" s="42">
        <v>4</v>
      </c>
      <c r="I113" s="42" t="s">
        <v>30</v>
      </c>
      <c r="J113" s="42" t="s">
        <v>0</v>
      </c>
      <c r="K113" s="42">
        <v>2</v>
      </c>
      <c r="L113" s="42" t="s">
        <v>42</v>
      </c>
      <c r="M113" s="42" t="s">
        <v>0</v>
      </c>
      <c r="N113" s="42">
        <v>5</v>
      </c>
      <c r="O113" s="42" t="s">
        <v>13</v>
      </c>
      <c r="P113" s="71"/>
      <c r="Q113" s="45">
        <f t="shared" si="25"/>
        <v>40</v>
      </c>
      <c r="R113" s="174">
        <v>284000</v>
      </c>
      <c r="S113" s="27">
        <v>11360000</v>
      </c>
      <c r="T113" s="27">
        <f t="shared" si="26"/>
        <v>11360000</v>
      </c>
      <c r="U113" s="292">
        <f t="shared" si="27"/>
        <v>0</v>
      </c>
      <c r="V113" s="27"/>
      <c r="W113" s="27"/>
    </row>
    <row r="114" spans="1:23" ht="15.5" x14ac:dyDescent="0.35">
      <c r="A114" s="49"/>
      <c r="B114" s="2"/>
      <c r="C114" s="51" t="s">
        <v>162</v>
      </c>
      <c r="D114" s="51"/>
      <c r="E114" s="40"/>
      <c r="F114" s="48"/>
      <c r="G114" s="47"/>
      <c r="H114" s="42">
        <v>4</v>
      </c>
      <c r="I114" s="42" t="s">
        <v>30</v>
      </c>
      <c r="J114" s="42" t="s">
        <v>0</v>
      </c>
      <c r="K114" s="42">
        <v>2</v>
      </c>
      <c r="L114" s="42" t="s">
        <v>42</v>
      </c>
      <c r="M114" s="42" t="s">
        <v>0</v>
      </c>
      <c r="N114" s="42">
        <v>5</v>
      </c>
      <c r="O114" s="42" t="s">
        <v>13</v>
      </c>
      <c r="P114" s="71"/>
      <c r="Q114" s="45">
        <f t="shared" si="25"/>
        <v>40</v>
      </c>
      <c r="R114" s="174">
        <v>286000</v>
      </c>
      <c r="S114" s="27">
        <v>11440000</v>
      </c>
      <c r="T114" s="27">
        <f t="shared" si="26"/>
        <v>11440000</v>
      </c>
      <c r="U114" s="292">
        <f t="shared" si="27"/>
        <v>0</v>
      </c>
      <c r="V114" s="27"/>
      <c r="W114" s="27"/>
    </row>
    <row r="115" spans="1:23" ht="15.5" x14ac:dyDescent="0.35">
      <c r="A115" s="49"/>
      <c r="B115" s="2"/>
      <c r="C115" s="51" t="s">
        <v>163</v>
      </c>
      <c r="D115" s="51"/>
      <c r="E115" s="40"/>
      <c r="F115" s="48"/>
      <c r="G115" s="47"/>
      <c r="H115" s="42">
        <v>4</v>
      </c>
      <c r="I115" s="42" t="s">
        <v>30</v>
      </c>
      <c r="J115" s="42" t="s">
        <v>0</v>
      </c>
      <c r="K115" s="42">
        <v>2</v>
      </c>
      <c r="L115" s="42" t="s">
        <v>42</v>
      </c>
      <c r="M115" s="42" t="s">
        <v>0</v>
      </c>
      <c r="N115" s="42">
        <v>5</v>
      </c>
      <c r="O115" s="42" t="s">
        <v>13</v>
      </c>
      <c r="P115" s="71"/>
      <c r="Q115" s="45">
        <f t="shared" si="25"/>
        <v>40</v>
      </c>
      <c r="R115" s="174">
        <v>300000</v>
      </c>
      <c r="S115" s="27">
        <v>12000000</v>
      </c>
      <c r="T115" s="27">
        <f t="shared" si="26"/>
        <v>12000000</v>
      </c>
      <c r="U115" s="292">
        <f t="shared" si="27"/>
        <v>0</v>
      </c>
      <c r="V115" s="27"/>
      <c r="W115" s="27"/>
    </row>
    <row r="116" spans="1:23" ht="15.5" x14ac:dyDescent="0.35">
      <c r="A116" s="49"/>
      <c r="B116" s="2"/>
      <c r="C116" s="51" t="s">
        <v>164</v>
      </c>
      <c r="D116" s="51"/>
      <c r="E116" s="40"/>
      <c r="F116" s="48"/>
      <c r="G116" s="47"/>
      <c r="H116" s="42">
        <v>4</v>
      </c>
      <c r="I116" s="42" t="s">
        <v>30</v>
      </c>
      <c r="J116" s="42" t="s">
        <v>0</v>
      </c>
      <c r="K116" s="42">
        <v>2</v>
      </c>
      <c r="L116" s="42" t="s">
        <v>42</v>
      </c>
      <c r="M116" s="42" t="s">
        <v>0</v>
      </c>
      <c r="N116" s="42">
        <v>5</v>
      </c>
      <c r="O116" s="42" t="s">
        <v>13</v>
      </c>
      <c r="P116" s="71"/>
      <c r="Q116" s="45">
        <f t="shared" si="25"/>
        <v>40</v>
      </c>
      <c r="R116" s="174">
        <v>430000</v>
      </c>
      <c r="S116" s="27">
        <v>17200000</v>
      </c>
      <c r="T116" s="27">
        <f t="shared" si="26"/>
        <v>17200000</v>
      </c>
      <c r="U116" s="292">
        <f t="shared" si="27"/>
        <v>0</v>
      </c>
      <c r="V116" s="27"/>
      <c r="W116" s="27"/>
    </row>
    <row r="117" spans="1:23" ht="15.5" x14ac:dyDescent="0.35">
      <c r="A117" s="49"/>
      <c r="B117" s="2"/>
      <c r="C117" s="51" t="s">
        <v>165</v>
      </c>
      <c r="D117" s="51"/>
      <c r="E117" s="40"/>
      <c r="F117" s="48"/>
      <c r="G117" s="47"/>
      <c r="H117" s="42">
        <v>4</v>
      </c>
      <c r="I117" s="42" t="s">
        <v>30</v>
      </c>
      <c r="J117" s="42" t="s">
        <v>0</v>
      </c>
      <c r="K117" s="42">
        <v>2</v>
      </c>
      <c r="L117" s="42" t="s">
        <v>42</v>
      </c>
      <c r="M117" s="42" t="s">
        <v>0</v>
      </c>
      <c r="N117" s="42">
        <v>5</v>
      </c>
      <c r="O117" s="42" t="s">
        <v>13</v>
      </c>
      <c r="P117" s="71"/>
      <c r="Q117" s="45">
        <f t="shared" si="25"/>
        <v>40</v>
      </c>
      <c r="R117" s="174">
        <v>370000</v>
      </c>
      <c r="S117" s="27">
        <v>14800000</v>
      </c>
      <c r="T117" s="27">
        <f t="shared" si="26"/>
        <v>14800000</v>
      </c>
      <c r="U117" s="292">
        <f t="shared" si="27"/>
        <v>0</v>
      </c>
      <c r="V117" s="27"/>
      <c r="W117" s="27"/>
    </row>
    <row r="118" spans="1:23" ht="15.5" x14ac:dyDescent="0.35">
      <c r="A118" s="49"/>
      <c r="B118" s="50" t="s">
        <v>166</v>
      </c>
      <c r="C118" s="51"/>
      <c r="D118" s="51"/>
      <c r="E118" s="40"/>
      <c r="F118" s="48"/>
      <c r="G118" s="47"/>
      <c r="H118" s="42"/>
      <c r="I118" s="42"/>
      <c r="J118" s="42"/>
      <c r="K118" s="42"/>
      <c r="L118" s="42"/>
      <c r="M118" s="42"/>
      <c r="N118" s="42"/>
      <c r="O118" s="42"/>
      <c r="P118" s="71"/>
      <c r="Q118" s="45"/>
      <c r="R118" s="174"/>
      <c r="S118" s="159">
        <f>SUM(S119:S124)</f>
        <v>50898000</v>
      </c>
      <c r="T118" s="159">
        <f>SUM(T119:T124)</f>
        <v>99427000</v>
      </c>
      <c r="U118" s="159">
        <f>SUM(U119:U124)</f>
        <v>-48529000</v>
      </c>
      <c r="V118" s="27"/>
      <c r="W118" s="27"/>
    </row>
    <row r="119" spans="1:23" ht="15.5" x14ac:dyDescent="0.35">
      <c r="A119" s="49"/>
      <c r="B119" s="2"/>
      <c r="C119" s="51" t="s">
        <v>167</v>
      </c>
      <c r="D119" s="51"/>
      <c r="E119" s="40"/>
      <c r="F119" s="48"/>
      <c r="G119" s="47"/>
      <c r="H119" s="42">
        <v>3</v>
      </c>
      <c r="I119" s="42" t="s">
        <v>30</v>
      </c>
      <c r="J119" s="42" t="s">
        <v>0</v>
      </c>
      <c r="K119" s="42">
        <v>1</v>
      </c>
      <c r="L119" s="42" t="s">
        <v>42</v>
      </c>
      <c r="M119" s="42" t="s">
        <v>0</v>
      </c>
      <c r="N119" s="42">
        <v>5</v>
      </c>
      <c r="O119" s="42" t="s">
        <v>13</v>
      </c>
      <c r="P119" s="71"/>
      <c r="Q119" s="45">
        <f t="shared" ref="Q119:Q124" si="28">H119*K119*N119</f>
        <v>15</v>
      </c>
      <c r="R119" s="174">
        <v>275000</v>
      </c>
      <c r="S119" s="27">
        <v>4125000</v>
      </c>
      <c r="T119" s="27">
        <f t="shared" ref="T119:T124" si="29">Q119*R119</f>
        <v>4125000</v>
      </c>
      <c r="U119" s="292">
        <f t="shared" ref="U119:U124" si="30">S119-T119</f>
        <v>0</v>
      </c>
      <c r="V119" s="27"/>
      <c r="W119" s="27"/>
    </row>
    <row r="120" spans="1:23" ht="15.5" x14ac:dyDescent="0.35">
      <c r="A120" s="49"/>
      <c r="B120" s="2"/>
      <c r="C120" s="51" t="s">
        <v>168</v>
      </c>
      <c r="D120" s="51"/>
      <c r="E120" s="40"/>
      <c r="F120" s="48"/>
      <c r="G120" s="47"/>
      <c r="H120" s="42">
        <v>3</v>
      </c>
      <c r="I120" s="42" t="s">
        <v>30</v>
      </c>
      <c r="J120" s="42" t="s">
        <v>0</v>
      </c>
      <c r="K120" s="42">
        <v>1</v>
      </c>
      <c r="L120" s="42" t="s">
        <v>42</v>
      </c>
      <c r="M120" s="42" t="s">
        <v>0</v>
      </c>
      <c r="N120" s="42">
        <v>5</v>
      </c>
      <c r="O120" s="42" t="s">
        <v>13</v>
      </c>
      <c r="P120" s="71"/>
      <c r="Q120" s="45">
        <f t="shared" si="28"/>
        <v>15</v>
      </c>
      <c r="R120" s="174">
        <v>284000</v>
      </c>
      <c r="S120" s="27">
        <v>4260000</v>
      </c>
      <c r="T120" s="27">
        <f t="shared" si="29"/>
        <v>4260000</v>
      </c>
      <c r="U120" s="292">
        <f t="shared" si="30"/>
        <v>0</v>
      </c>
      <c r="V120" s="27"/>
      <c r="W120" s="27"/>
    </row>
    <row r="121" spans="1:23" ht="15.5" x14ac:dyDescent="0.35">
      <c r="A121" s="49"/>
      <c r="B121" s="2"/>
      <c r="C121" s="51" t="s">
        <v>169</v>
      </c>
      <c r="D121" s="51"/>
      <c r="E121" s="40"/>
      <c r="F121" s="48"/>
      <c r="G121" s="47"/>
      <c r="H121" s="42">
        <v>3</v>
      </c>
      <c r="I121" s="42" t="s">
        <v>30</v>
      </c>
      <c r="J121" s="42" t="s">
        <v>0</v>
      </c>
      <c r="K121" s="42">
        <v>1</v>
      </c>
      <c r="L121" s="42" t="s">
        <v>42</v>
      </c>
      <c r="M121" s="42" t="s">
        <v>0</v>
      </c>
      <c r="N121" s="42">
        <v>5</v>
      </c>
      <c r="O121" s="42" t="s">
        <v>13</v>
      </c>
      <c r="P121" s="71"/>
      <c r="Q121" s="45">
        <f t="shared" si="28"/>
        <v>15</v>
      </c>
      <c r="R121" s="174">
        <v>286000</v>
      </c>
      <c r="S121" s="27">
        <v>4290000</v>
      </c>
      <c r="T121" s="27">
        <f t="shared" si="29"/>
        <v>4290000</v>
      </c>
      <c r="U121" s="292">
        <f t="shared" si="30"/>
        <v>0</v>
      </c>
      <c r="V121" s="27"/>
      <c r="W121" s="27"/>
    </row>
    <row r="122" spans="1:23" ht="15.5" x14ac:dyDescent="0.35">
      <c r="A122" s="49"/>
      <c r="B122" s="280"/>
      <c r="C122" s="146" t="s">
        <v>226</v>
      </c>
      <c r="D122" s="146"/>
      <c r="E122" s="148"/>
      <c r="F122" s="336"/>
      <c r="G122" s="337"/>
      <c r="H122" s="308">
        <v>4</v>
      </c>
      <c r="I122" s="308" t="s">
        <v>30</v>
      </c>
      <c r="J122" s="308" t="s">
        <v>0</v>
      </c>
      <c r="K122" s="308">
        <v>1</v>
      </c>
      <c r="L122" s="308" t="s">
        <v>1</v>
      </c>
      <c r="M122" s="308" t="s">
        <v>0</v>
      </c>
      <c r="N122" s="308">
        <v>4</v>
      </c>
      <c r="O122" s="308" t="s">
        <v>13</v>
      </c>
      <c r="P122" s="338"/>
      <c r="Q122" s="176">
        <f>H122*K122*N122</f>
        <v>16</v>
      </c>
      <c r="R122" s="339">
        <v>397000</v>
      </c>
      <c r="S122" s="149">
        <v>3573000</v>
      </c>
      <c r="T122" s="149">
        <f>Q122*R122</f>
        <v>6352000</v>
      </c>
      <c r="U122" s="293">
        <f>S122-T122</f>
        <v>-2779000</v>
      </c>
      <c r="V122" s="27"/>
      <c r="W122" s="27"/>
    </row>
    <row r="123" spans="1:23" ht="15.5" x14ac:dyDescent="0.35">
      <c r="A123" s="49"/>
      <c r="B123" s="280"/>
      <c r="C123" s="146" t="s">
        <v>203</v>
      </c>
      <c r="D123" s="146"/>
      <c r="E123" s="148"/>
      <c r="F123" s="336"/>
      <c r="G123" s="337"/>
      <c r="H123" s="308">
        <v>2</v>
      </c>
      <c r="I123" s="308" t="s">
        <v>40</v>
      </c>
      <c r="J123" s="308" t="s">
        <v>0</v>
      </c>
      <c r="K123" s="308">
        <v>4</v>
      </c>
      <c r="L123" s="308" t="s">
        <v>41</v>
      </c>
      <c r="M123" s="308" t="s">
        <v>0</v>
      </c>
      <c r="N123" s="308">
        <v>6</v>
      </c>
      <c r="O123" s="308" t="s">
        <v>13</v>
      </c>
      <c r="P123" s="338"/>
      <c r="Q123" s="176">
        <f t="shared" si="28"/>
        <v>48</v>
      </c>
      <c r="R123" s="339">
        <v>750000</v>
      </c>
      <c r="S123" s="149">
        <v>18000000</v>
      </c>
      <c r="T123" s="149">
        <f t="shared" si="29"/>
        <v>36000000</v>
      </c>
      <c r="U123" s="293">
        <f t="shared" si="30"/>
        <v>-18000000</v>
      </c>
      <c r="V123" s="27"/>
      <c r="W123" s="27"/>
    </row>
    <row r="124" spans="1:23" ht="15.5" x14ac:dyDescent="0.35">
      <c r="A124" s="49"/>
      <c r="B124" s="280"/>
      <c r="C124" s="146" t="s">
        <v>204</v>
      </c>
      <c r="D124" s="146"/>
      <c r="E124" s="148"/>
      <c r="F124" s="336"/>
      <c r="G124" s="337"/>
      <c r="H124" s="308">
        <v>4</v>
      </c>
      <c r="I124" s="308" t="s">
        <v>30</v>
      </c>
      <c r="J124" s="308" t="s">
        <v>0</v>
      </c>
      <c r="K124" s="308">
        <v>5</v>
      </c>
      <c r="L124" s="308" t="s">
        <v>42</v>
      </c>
      <c r="M124" s="308" t="s">
        <v>0</v>
      </c>
      <c r="N124" s="308">
        <v>6</v>
      </c>
      <c r="O124" s="308" t="s">
        <v>13</v>
      </c>
      <c r="P124" s="338"/>
      <c r="Q124" s="176">
        <f t="shared" si="28"/>
        <v>120</v>
      </c>
      <c r="R124" s="339">
        <v>370000</v>
      </c>
      <c r="S124" s="149">
        <v>16650000</v>
      </c>
      <c r="T124" s="149">
        <f t="shared" si="29"/>
        <v>44400000</v>
      </c>
      <c r="U124" s="293">
        <f t="shared" si="30"/>
        <v>-27750000</v>
      </c>
      <c r="V124" s="27"/>
      <c r="W124" s="27"/>
    </row>
    <row r="125" spans="1:23" ht="15.5" x14ac:dyDescent="0.35">
      <c r="A125" s="305">
        <v>524113</v>
      </c>
      <c r="B125" s="313" t="s">
        <v>56</v>
      </c>
      <c r="C125" s="314"/>
      <c r="D125" s="314"/>
      <c r="E125" s="77"/>
      <c r="F125" s="78"/>
      <c r="G125" s="79"/>
      <c r="H125" s="80"/>
      <c r="I125" s="80"/>
      <c r="J125" s="80"/>
      <c r="K125" s="80"/>
      <c r="L125" s="80"/>
      <c r="M125" s="80"/>
      <c r="N125" s="80"/>
      <c r="O125" s="81"/>
      <c r="P125" s="82"/>
      <c r="Q125" s="83"/>
      <c r="R125" s="315"/>
      <c r="S125" s="85">
        <f>SUM(S126:S128)</f>
        <v>63240000</v>
      </c>
      <c r="T125" s="85">
        <f>SUM(T126:T128)</f>
        <v>63240000</v>
      </c>
      <c r="U125" s="311">
        <f>SUM(U126:U128)</f>
        <v>0</v>
      </c>
      <c r="V125" s="85"/>
      <c r="W125" s="85"/>
    </row>
    <row r="126" spans="1:23" ht="15.5" x14ac:dyDescent="0.35">
      <c r="A126" s="49"/>
      <c r="B126" s="316" t="s">
        <v>57</v>
      </c>
      <c r="C126" s="281"/>
      <c r="D126" s="281"/>
      <c r="E126" s="40"/>
      <c r="F126" s="48"/>
      <c r="G126" s="47"/>
      <c r="H126" s="42">
        <v>4</v>
      </c>
      <c r="I126" s="42" t="s">
        <v>30</v>
      </c>
      <c r="J126" s="42" t="s">
        <v>0</v>
      </c>
      <c r="K126" s="42">
        <v>15</v>
      </c>
      <c r="L126" s="42" t="s">
        <v>28</v>
      </c>
      <c r="M126" s="42" t="s">
        <v>0</v>
      </c>
      <c r="N126" s="42">
        <v>2</v>
      </c>
      <c r="O126" s="42" t="s">
        <v>42</v>
      </c>
      <c r="P126" s="71"/>
      <c r="Q126" s="45">
        <f>H126*K126*N126</f>
        <v>120</v>
      </c>
      <c r="R126" s="317">
        <v>170000</v>
      </c>
      <c r="S126" s="27">
        <v>20400000</v>
      </c>
      <c r="T126" s="27">
        <f>Q126*R126</f>
        <v>20400000</v>
      </c>
      <c r="U126" s="292">
        <f>S126-T126</f>
        <v>0</v>
      </c>
      <c r="V126" s="27"/>
      <c r="W126" s="27"/>
    </row>
    <row r="127" spans="1:23" ht="15.5" x14ac:dyDescent="0.35">
      <c r="A127" s="49"/>
      <c r="B127" s="316" t="s">
        <v>58</v>
      </c>
      <c r="C127" s="281"/>
      <c r="D127" s="281"/>
      <c r="E127" s="40"/>
      <c r="F127" s="48"/>
      <c r="G127" s="47"/>
      <c r="H127" s="42">
        <v>4</v>
      </c>
      <c r="I127" s="42" t="s">
        <v>30</v>
      </c>
      <c r="J127" s="42" t="s">
        <v>0</v>
      </c>
      <c r="K127" s="42">
        <v>30</v>
      </c>
      <c r="L127" s="42" t="s">
        <v>28</v>
      </c>
      <c r="M127" s="42" t="s">
        <v>0</v>
      </c>
      <c r="N127" s="42">
        <v>1</v>
      </c>
      <c r="O127" s="42" t="s">
        <v>42</v>
      </c>
      <c r="P127" s="71"/>
      <c r="Q127" s="45">
        <f>H127*K127*N127</f>
        <v>120</v>
      </c>
      <c r="R127" s="317">
        <v>170000</v>
      </c>
      <c r="S127" s="27">
        <v>20400000</v>
      </c>
      <c r="T127" s="27">
        <f>Q127*R127</f>
        <v>20400000</v>
      </c>
      <c r="U127" s="292">
        <f>S127-T127</f>
        <v>0</v>
      </c>
      <c r="V127" s="27"/>
      <c r="W127" s="27"/>
    </row>
    <row r="128" spans="1:23" ht="15.5" x14ac:dyDescent="0.35">
      <c r="A128" s="198"/>
      <c r="B128" s="326" t="s">
        <v>191</v>
      </c>
      <c r="C128" s="327"/>
      <c r="D128" s="327"/>
      <c r="E128" s="201"/>
      <c r="F128" s="202"/>
      <c r="G128" s="203"/>
      <c r="H128" s="204">
        <v>11</v>
      </c>
      <c r="I128" s="204" t="s">
        <v>30</v>
      </c>
      <c r="J128" s="204" t="s">
        <v>0</v>
      </c>
      <c r="K128" s="328">
        <v>3</v>
      </c>
      <c r="L128" s="204" t="s">
        <v>28</v>
      </c>
      <c r="M128" s="204" t="s">
        <v>0</v>
      </c>
      <c r="N128" s="204">
        <v>4</v>
      </c>
      <c r="O128" s="204" t="s">
        <v>42</v>
      </c>
      <c r="P128" s="206"/>
      <c r="Q128" s="207">
        <f>H128*K128*N128</f>
        <v>132</v>
      </c>
      <c r="R128" s="329">
        <v>170000</v>
      </c>
      <c r="S128" s="208">
        <v>22440000</v>
      </c>
      <c r="T128" s="208">
        <f>Q128*R128</f>
        <v>22440000</v>
      </c>
      <c r="U128" s="330">
        <f>S128-T128</f>
        <v>0</v>
      </c>
      <c r="V128" s="27"/>
      <c r="W128" s="27"/>
    </row>
    <row r="129" spans="1:23" ht="15.5" x14ac:dyDescent="0.35">
      <c r="A129" s="304">
        <v>524119</v>
      </c>
      <c r="B129" s="335" t="s">
        <v>202</v>
      </c>
      <c r="C129" s="282"/>
      <c r="D129" s="283"/>
      <c r="E129" s="284"/>
      <c r="F129" s="78"/>
      <c r="G129" s="79"/>
      <c r="H129" s="80"/>
      <c r="I129" s="80"/>
      <c r="J129" s="80"/>
      <c r="K129" s="80"/>
      <c r="L129" s="80"/>
      <c r="M129" s="80"/>
      <c r="N129" s="80"/>
      <c r="O129" s="80"/>
      <c r="P129" s="285"/>
      <c r="Q129" s="83"/>
      <c r="R129" s="286"/>
      <c r="S129" s="311">
        <f>S130</f>
        <v>45270000</v>
      </c>
      <c r="T129" s="311">
        <f t="shared" ref="T129:U129" si="31">T130</f>
        <v>16000000</v>
      </c>
      <c r="U129" s="311">
        <f t="shared" si="31"/>
        <v>29270000</v>
      </c>
      <c r="V129" s="27"/>
      <c r="W129" s="27"/>
    </row>
    <row r="130" spans="1:23" ht="15.5" x14ac:dyDescent="0.35">
      <c r="A130" s="49"/>
      <c r="B130" s="145" t="s">
        <v>229</v>
      </c>
      <c r="C130" s="146"/>
      <c r="D130" s="146"/>
      <c r="E130" s="148"/>
      <c r="F130" s="336"/>
      <c r="G130" s="337"/>
      <c r="H130" s="308"/>
      <c r="I130" s="308"/>
      <c r="J130" s="308"/>
      <c r="K130" s="308"/>
      <c r="L130" s="308"/>
      <c r="M130" s="308"/>
      <c r="N130" s="308"/>
      <c r="O130" s="308"/>
      <c r="P130" s="338"/>
      <c r="Q130" s="176"/>
      <c r="R130" s="339"/>
      <c r="S130" s="159">
        <f>S131+S132+S133</f>
        <v>45270000</v>
      </c>
      <c r="T130" s="159">
        <f t="shared" ref="T130:U130" si="32">T131+T132+T133</f>
        <v>16000000</v>
      </c>
      <c r="U130" s="159">
        <f t="shared" si="32"/>
        <v>29270000</v>
      </c>
      <c r="V130" s="27"/>
      <c r="W130" s="27"/>
    </row>
    <row r="131" spans="1:23" ht="15.5" x14ac:dyDescent="0.35">
      <c r="A131" s="49"/>
      <c r="B131" s="280"/>
      <c r="C131" s="146" t="s">
        <v>226</v>
      </c>
      <c r="D131" s="146"/>
      <c r="E131" s="148"/>
      <c r="F131" s="336"/>
      <c r="G131" s="337"/>
      <c r="H131" s="308">
        <v>5</v>
      </c>
      <c r="I131" s="308" t="s">
        <v>30</v>
      </c>
      <c r="J131" s="308" t="s">
        <v>0</v>
      </c>
      <c r="K131" s="308">
        <v>2</v>
      </c>
      <c r="L131" s="308" t="s">
        <v>1</v>
      </c>
      <c r="M131" s="308" t="s">
        <v>0</v>
      </c>
      <c r="N131" s="308">
        <v>3</v>
      </c>
      <c r="O131" s="308" t="s">
        <v>13</v>
      </c>
      <c r="P131" s="338"/>
      <c r="Q131" s="176">
        <f>H131*K131*N131</f>
        <v>30</v>
      </c>
      <c r="R131" s="339">
        <v>399000</v>
      </c>
      <c r="S131" s="149">
        <f>Q131*R131</f>
        <v>11970000</v>
      </c>
      <c r="T131" s="149">
        <v>0</v>
      </c>
      <c r="U131" s="312">
        <f>S131-T131</f>
        <v>11970000</v>
      </c>
      <c r="V131" s="27"/>
      <c r="W131" s="27"/>
    </row>
    <row r="132" spans="1:23" ht="15.5" x14ac:dyDescent="0.35">
      <c r="A132" s="49"/>
      <c r="B132" s="280"/>
      <c r="C132" s="146" t="s">
        <v>192</v>
      </c>
      <c r="D132" s="146"/>
      <c r="E132" s="148"/>
      <c r="F132" s="336"/>
      <c r="G132" s="337"/>
      <c r="H132" s="308">
        <v>5</v>
      </c>
      <c r="I132" s="308" t="s">
        <v>30</v>
      </c>
      <c r="J132" s="308" t="s">
        <v>0</v>
      </c>
      <c r="K132" s="308">
        <v>6</v>
      </c>
      <c r="L132" s="308" t="s">
        <v>42</v>
      </c>
      <c r="M132" s="308" t="s">
        <v>0</v>
      </c>
      <c r="N132" s="308">
        <v>3</v>
      </c>
      <c r="O132" s="308" t="s">
        <v>13</v>
      </c>
      <c r="P132" s="338"/>
      <c r="Q132" s="176">
        <f>H132*K132*N132</f>
        <v>90</v>
      </c>
      <c r="R132" s="339">
        <v>370000</v>
      </c>
      <c r="S132" s="149">
        <f>Q132*R132</f>
        <v>33300000</v>
      </c>
      <c r="T132" s="149">
        <v>0</v>
      </c>
      <c r="U132" s="312">
        <f>S132-T132</f>
        <v>33300000</v>
      </c>
      <c r="V132" s="27"/>
      <c r="W132" s="27"/>
    </row>
    <row r="133" spans="1:23" ht="15.5" x14ac:dyDescent="0.35">
      <c r="A133" s="49"/>
      <c r="B133" s="280"/>
      <c r="C133" s="146" t="s">
        <v>230</v>
      </c>
      <c r="D133" s="146"/>
      <c r="E133" s="148"/>
      <c r="F133" s="336"/>
      <c r="G133" s="337"/>
      <c r="H133" s="308">
        <v>10</v>
      </c>
      <c r="I133" s="308" t="s">
        <v>30</v>
      </c>
      <c r="J133" s="308" t="s">
        <v>0</v>
      </c>
      <c r="K133" s="308">
        <v>5</v>
      </c>
      <c r="L133" s="308" t="s">
        <v>42</v>
      </c>
      <c r="M133" s="308" t="s">
        <v>0</v>
      </c>
      <c r="N133" s="308">
        <v>2</v>
      </c>
      <c r="O133" s="308" t="s">
        <v>13</v>
      </c>
      <c r="P133" s="338"/>
      <c r="Q133" s="176">
        <f>H133*K133*N133</f>
        <v>100</v>
      </c>
      <c r="R133" s="339">
        <v>160000</v>
      </c>
      <c r="S133" s="149">
        <v>0</v>
      </c>
      <c r="T133" s="149">
        <f>Q133*R133</f>
        <v>16000000</v>
      </c>
      <c r="U133" s="312">
        <f>S133-T133</f>
        <v>-16000000</v>
      </c>
      <c r="V133" s="27"/>
      <c r="W133" s="27"/>
    </row>
    <row r="134" spans="1:23" ht="15.5" x14ac:dyDescent="0.35">
      <c r="A134" s="209"/>
      <c r="B134" s="210"/>
      <c r="C134" s="210"/>
      <c r="D134" s="210"/>
      <c r="E134" s="211"/>
      <c r="F134" s="212"/>
      <c r="G134" s="213"/>
      <c r="H134" s="214"/>
      <c r="I134" s="214"/>
      <c r="J134" s="214"/>
      <c r="K134" s="214"/>
      <c r="L134" s="214"/>
      <c r="M134" s="214"/>
      <c r="N134" s="214"/>
      <c r="O134" s="214"/>
      <c r="P134" s="232"/>
      <c r="Q134" s="217"/>
      <c r="R134" s="218"/>
      <c r="S134" s="219"/>
      <c r="T134" s="219"/>
      <c r="U134" s="219"/>
      <c r="V134" s="197"/>
      <c r="W134" s="195"/>
    </row>
    <row r="135" spans="1:23" ht="15.5" x14ac:dyDescent="0.35">
      <c r="A135" s="220"/>
      <c r="B135" s="221"/>
      <c r="C135" s="221"/>
      <c r="D135" s="221"/>
      <c r="E135" s="222"/>
      <c r="F135" s="223"/>
      <c r="G135" s="224"/>
      <c r="H135" s="225"/>
      <c r="I135" s="225"/>
      <c r="J135" s="225"/>
      <c r="K135" s="225"/>
      <c r="L135" s="225"/>
      <c r="M135" s="225"/>
      <c r="N135" s="225"/>
      <c r="O135" s="225"/>
      <c r="P135" s="237"/>
      <c r="Q135" s="228"/>
      <c r="R135" s="229"/>
      <c r="S135" s="230"/>
      <c r="T135" s="230"/>
      <c r="U135" s="230"/>
      <c r="V135" s="197"/>
      <c r="W135" s="195"/>
    </row>
    <row r="136" spans="1:23" ht="15" customHeight="1" x14ac:dyDescent="0.35">
      <c r="A136" s="345" t="s">
        <v>16</v>
      </c>
      <c r="B136" s="352" t="s">
        <v>2</v>
      </c>
      <c r="C136" s="353"/>
      <c r="D136" s="353"/>
      <c r="E136" s="354"/>
      <c r="F136" s="358" t="s">
        <v>3</v>
      </c>
      <c r="G136" s="358" t="s">
        <v>4</v>
      </c>
      <c r="H136" s="360" t="s">
        <v>5</v>
      </c>
      <c r="I136" s="361"/>
      <c r="J136" s="361"/>
      <c r="K136" s="361"/>
      <c r="L136" s="361"/>
      <c r="M136" s="361"/>
      <c r="N136" s="361"/>
      <c r="O136" s="361"/>
      <c r="P136" s="361"/>
      <c r="Q136" s="362"/>
      <c r="R136" s="358" t="s">
        <v>6</v>
      </c>
      <c r="S136" s="345" t="s">
        <v>7</v>
      </c>
      <c r="T136" s="345" t="s">
        <v>7</v>
      </c>
      <c r="U136" s="345" t="s">
        <v>7</v>
      </c>
      <c r="V136" s="345" t="s">
        <v>153</v>
      </c>
      <c r="W136" s="345" t="s">
        <v>150</v>
      </c>
    </row>
    <row r="137" spans="1:23" ht="30.75" customHeight="1" x14ac:dyDescent="0.35">
      <c r="A137" s="346"/>
      <c r="B137" s="355"/>
      <c r="C137" s="356"/>
      <c r="D137" s="356"/>
      <c r="E137" s="357"/>
      <c r="F137" s="359"/>
      <c r="G137" s="359"/>
      <c r="H137" s="33"/>
      <c r="I137" s="34"/>
      <c r="J137" s="34"/>
      <c r="K137" s="34"/>
      <c r="L137" s="34"/>
      <c r="M137" s="34"/>
      <c r="N137" s="34"/>
      <c r="O137" s="34"/>
      <c r="P137" s="35"/>
      <c r="Q137" s="36" t="s">
        <v>8</v>
      </c>
      <c r="R137" s="359"/>
      <c r="S137" s="346"/>
      <c r="T137" s="346"/>
      <c r="U137" s="346"/>
      <c r="V137" s="346"/>
      <c r="W137" s="346"/>
    </row>
    <row r="138" spans="1:23" ht="15.75" customHeight="1" x14ac:dyDescent="0.35">
      <c r="A138" s="37">
        <v>1</v>
      </c>
      <c r="B138" s="349">
        <v>2</v>
      </c>
      <c r="C138" s="350"/>
      <c r="D138" s="350"/>
      <c r="E138" s="38"/>
      <c r="F138" s="37">
        <v>3</v>
      </c>
      <c r="G138" s="37">
        <v>4</v>
      </c>
      <c r="H138" s="349">
        <v>5</v>
      </c>
      <c r="I138" s="350"/>
      <c r="J138" s="350"/>
      <c r="K138" s="350"/>
      <c r="L138" s="350"/>
      <c r="M138" s="350"/>
      <c r="N138" s="350"/>
      <c r="O138" s="350"/>
      <c r="P138" s="351"/>
      <c r="Q138" s="39"/>
      <c r="R138" s="37">
        <v>6</v>
      </c>
      <c r="S138" s="37">
        <v>7</v>
      </c>
      <c r="T138" s="37">
        <v>7</v>
      </c>
      <c r="U138" s="37">
        <v>7</v>
      </c>
      <c r="V138" s="37">
        <v>7</v>
      </c>
      <c r="W138" s="37">
        <v>7</v>
      </c>
    </row>
    <row r="139" spans="1:23" ht="15.5" x14ac:dyDescent="0.35">
      <c r="A139" s="305">
        <v>524211</v>
      </c>
      <c r="B139" s="294" t="s">
        <v>59</v>
      </c>
      <c r="C139" s="75"/>
      <c r="D139" s="76"/>
      <c r="E139" s="77"/>
      <c r="F139" s="78"/>
      <c r="G139" s="79"/>
      <c r="H139" s="80"/>
      <c r="I139" s="80"/>
      <c r="J139" s="80"/>
      <c r="K139" s="80"/>
      <c r="L139" s="80"/>
      <c r="M139" s="80"/>
      <c r="N139" s="80"/>
      <c r="O139" s="81"/>
      <c r="P139" s="82"/>
      <c r="Q139" s="83"/>
      <c r="R139" s="84"/>
      <c r="S139" s="311">
        <f>S140+S141</f>
        <v>25245000</v>
      </c>
      <c r="T139" s="311">
        <f>T140+T141</f>
        <v>5250000</v>
      </c>
      <c r="U139" s="311">
        <f>U140+U141</f>
        <v>19995000</v>
      </c>
      <c r="V139" s="85"/>
      <c r="W139" s="85"/>
    </row>
    <row r="140" spans="1:23" ht="15.5" x14ac:dyDescent="0.35">
      <c r="A140" s="49"/>
      <c r="B140" s="50" t="s">
        <v>60</v>
      </c>
      <c r="C140" s="51"/>
      <c r="D140" s="52"/>
      <c r="E140" s="40"/>
      <c r="F140" s="48"/>
      <c r="G140" s="47"/>
      <c r="H140" s="42">
        <v>1</v>
      </c>
      <c r="I140" s="42" t="s">
        <v>30</v>
      </c>
      <c r="J140" s="42" t="s">
        <v>0</v>
      </c>
      <c r="K140" s="308">
        <v>1</v>
      </c>
      <c r="L140" s="42" t="s">
        <v>28</v>
      </c>
      <c r="M140" s="42" t="s">
        <v>0</v>
      </c>
      <c r="N140" s="42">
        <v>5</v>
      </c>
      <c r="O140" s="42" t="s">
        <v>42</v>
      </c>
      <c r="P140" s="71"/>
      <c r="Q140" s="45">
        <f>H140*K140*N140</f>
        <v>5</v>
      </c>
      <c r="R140" s="189">
        <v>1050000</v>
      </c>
      <c r="S140" s="27">
        <v>13365000</v>
      </c>
      <c r="T140" s="27">
        <f>Q140*R140</f>
        <v>5250000</v>
      </c>
      <c r="U140" s="292">
        <f>S140-T140</f>
        <v>8115000</v>
      </c>
      <c r="V140" s="27"/>
      <c r="W140" s="27"/>
    </row>
    <row r="141" spans="1:23" ht="15.5" x14ac:dyDescent="0.35">
      <c r="A141" s="49"/>
      <c r="B141" s="50" t="s">
        <v>61</v>
      </c>
      <c r="C141" s="51"/>
      <c r="D141" s="52"/>
      <c r="E141" s="40"/>
      <c r="F141" s="48"/>
      <c r="G141" s="47"/>
      <c r="H141" s="42">
        <v>0</v>
      </c>
      <c r="I141" s="42" t="s">
        <v>30</v>
      </c>
      <c r="J141" s="42" t="s">
        <v>0</v>
      </c>
      <c r="K141" s="308">
        <v>0</v>
      </c>
      <c r="L141" s="42" t="s">
        <v>28</v>
      </c>
      <c r="M141" s="42" t="s">
        <v>0</v>
      </c>
      <c r="N141" s="42">
        <v>0</v>
      </c>
      <c r="O141" s="42" t="s">
        <v>42</v>
      </c>
      <c r="P141" s="71"/>
      <c r="Q141" s="45">
        <f>H141*K141*N141</f>
        <v>0</v>
      </c>
      <c r="R141" s="189">
        <v>990000</v>
      </c>
      <c r="S141" s="27">
        <v>11880000</v>
      </c>
      <c r="T141" s="27">
        <f>Q141*R141</f>
        <v>0</v>
      </c>
      <c r="U141" s="292">
        <f>S141-T141</f>
        <v>11880000</v>
      </c>
      <c r="V141" s="27"/>
      <c r="W141" s="27"/>
    </row>
    <row r="142" spans="1:23" ht="15.75" customHeight="1" x14ac:dyDescent="0.35">
      <c r="A142" s="203"/>
      <c r="B142" s="250"/>
      <c r="C142" s="251"/>
      <c r="D142" s="251"/>
      <c r="E142" s="251"/>
      <c r="F142" s="203"/>
      <c r="G142" s="203"/>
      <c r="H142" s="251"/>
      <c r="I142" s="251"/>
      <c r="J142" s="251"/>
      <c r="K142" s="251"/>
      <c r="L142" s="251"/>
      <c r="M142" s="251"/>
      <c r="N142" s="251"/>
      <c r="O142" s="251"/>
      <c r="P142" s="251"/>
      <c r="Q142" s="203"/>
      <c r="R142" s="252"/>
      <c r="S142" s="203"/>
      <c r="T142" s="203"/>
      <c r="U142" s="203"/>
      <c r="V142" s="47"/>
      <c r="W142" s="47"/>
    </row>
    <row r="143" spans="1:23" ht="15.75" customHeight="1" x14ac:dyDescent="0.35">
      <c r="A143" s="179" t="s">
        <v>148</v>
      </c>
      <c r="B143" s="180" t="s">
        <v>149</v>
      </c>
      <c r="C143" s="181"/>
      <c r="D143" s="171"/>
      <c r="E143" s="171"/>
      <c r="F143" s="47"/>
      <c r="G143" s="47"/>
      <c r="H143" s="171"/>
      <c r="I143" s="171"/>
      <c r="J143" s="171"/>
      <c r="K143" s="171"/>
      <c r="L143" s="171"/>
      <c r="M143" s="171"/>
      <c r="N143" s="171"/>
      <c r="O143" s="171"/>
      <c r="P143" s="171"/>
      <c r="Q143" s="47"/>
      <c r="R143" s="172"/>
      <c r="S143" s="47"/>
      <c r="T143" s="47"/>
      <c r="U143" s="47"/>
      <c r="V143" s="47"/>
      <c r="W143" s="47"/>
    </row>
    <row r="144" spans="1:23" ht="15.5" x14ac:dyDescent="0.35">
      <c r="A144" s="139">
        <v>5059</v>
      </c>
      <c r="B144" s="140" t="s">
        <v>70</v>
      </c>
      <c r="C144" s="141"/>
      <c r="D144" s="161"/>
      <c r="E144" s="161"/>
      <c r="F144" s="48"/>
      <c r="G144" s="47"/>
      <c r="H144" s="42"/>
      <c r="I144" s="42"/>
      <c r="J144" s="42"/>
      <c r="K144" s="42"/>
      <c r="L144" s="42"/>
      <c r="M144" s="42"/>
      <c r="N144" s="42"/>
      <c r="O144" s="42"/>
      <c r="P144" s="44"/>
      <c r="Q144" s="45"/>
      <c r="R144" s="174"/>
      <c r="S144" s="158">
        <f>S145</f>
        <v>3252090000</v>
      </c>
      <c r="T144" s="158">
        <f>T145</f>
        <v>3252090000</v>
      </c>
      <c r="U144" s="158">
        <f>U145</f>
        <v>0</v>
      </c>
      <c r="V144" s="158"/>
      <c r="W144" s="158"/>
    </row>
    <row r="145" spans="1:23" ht="15.5" x14ac:dyDescent="0.35">
      <c r="A145" s="144" t="s">
        <v>71</v>
      </c>
      <c r="B145" s="145" t="s">
        <v>72</v>
      </c>
      <c r="C145" s="146"/>
      <c r="D145" s="147"/>
      <c r="E145" s="148"/>
      <c r="F145" s="48"/>
      <c r="G145" s="47"/>
      <c r="H145" s="42"/>
      <c r="I145" s="42"/>
      <c r="J145" s="42"/>
      <c r="K145" s="42"/>
      <c r="L145" s="42"/>
      <c r="M145" s="42"/>
      <c r="N145" s="42"/>
      <c r="O145" s="42"/>
      <c r="P145" s="44"/>
      <c r="Q145" s="45"/>
      <c r="R145" s="53"/>
      <c r="S145" s="159">
        <f>S146+S184</f>
        <v>3252090000</v>
      </c>
      <c r="T145" s="159">
        <f>T146+T184</f>
        <v>3252090000</v>
      </c>
      <c r="U145" s="159">
        <f>U146+U184</f>
        <v>0</v>
      </c>
      <c r="V145" s="159"/>
      <c r="W145" s="159"/>
    </row>
    <row r="146" spans="1:23" ht="15.5" x14ac:dyDescent="0.35">
      <c r="A146" s="118" t="s">
        <v>89</v>
      </c>
      <c r="B146" s="113" t="s">
        <v>83</v>
      </c>
      <c r="C146" s="114"/>
      <c r="D146" s="119"/>
      <c r="E146" s="115"/>
      <c r="F146" s="120"/>
      <c r="G146" s="121"/>
      <c r="H146" s="116"/>
      <c r="I146" s="116"/>
      <c r="J146" s="116"/>
      <c r="K146" s="116"/>
      <c r="L146" s="116"/>
      <c r="M146" s="116"/>
      <c r="N146" s="116"/>
      <c r="O146" s="122"/>
      <c r="P146" s="123"/>
      <c r="Q146" s="117"/>
      <c r="R146" s="124"/>
      <c r="S146" s="125">
        <f t="shared" ref="S146:U149" si="33">S147</f>
        <v>1161946000</v>
      </c>
      <c r="T146" s="125">
        <f t="shared" si="33"/>
        <v>1161946000</v>
      </c>
      <c r="U146" s="125">
        <f t="shared" si="33"/>
        <v>0</v>
      </c>
      <c r="V146" s="125"/>
      <c r="W146" s="125"/>
    </row>
    <row r="147" spans="1:23" ht="15.5" x14ac:dyDescent="0.35">
      <c r="A147" s="126" t="s">
        <v>19</v>
      </c>
      <c r="B147" s="127" t="s">
        <v>20</v>
      </c>
      <c r="C147" s="128"/>
      <c r="D147" s="129"/>
      <c r="E147" s="130"/>
      <c r="F147" s="131"/>
      <c r="G147" s="132"/>
      <c r="H147" s="133"/>
      <c r="I147" s="133"/>
      <c r="J147" s="133"/>
      <c r="K147" s="133"/>
      <c r="L147" s="133"/>
      <c r="M147" s="133"/>
      <c r="N147" s="133"/>
      <c r="O147" s="134"/>
      <c r="P147" s="135"/>
      <c r="Q147" s="136"/>
      <c r="R147" s="137"/>
      <c r="S147" s="138">
        <f t="shared" si="33"/>
        <v>1161946000</v>
      </c>
      <c r="T147" s="138">
        <f t="shared" si="33"/>
        <v>1161946000</v>
      </c>
      <c r="U147" s="138">
        <f t="shared" si="33"/>
        <v>0</v>
      </c>
      <c r="V147" s="138"/>
      <c r="W147" s="138"/>
    </row>
    <row r="148" spans="1:23" ht="15.5" x14ac:dyDescent="0.35">
      <c r="A148" s="97" t="s">
        <v>90</v>
      </c>
      <c r="B148" s="98" t="s">
        <v>91</v>
      </c>
      <c r="C148" s="99"/>
      <c r="D148" s="100"/>
      <c r="E148" s="101"/>
      <c r="F148" s="102"/>
      <c r="G148" s="103"/>
      <c r="H148" s="104"/>
      <c r="I148" s="104"/>
      <c r="J148" s="104"/>
      <c r="K148" s="104"/>
      <c r="L148" s="104"/>
      <c r="M148" s="104"/>
      <c r="N148" s="104"/>
      <c r="O148" s="105"/>
      <c r="P148" s="106"/>
      <c r="Q148" s="107"/>
      <c r="R148" s="108"/>
      <c r="S148" s="112">
        <f t="shared" si="33"/>
        <v>1161946000</v>
      </c>
      <c r="T148" s="112">
        <f t="shared" si="33"/>
        <v>1161946000</v>
      </c>
      <c r="U148" s="112">
        <f t="shared" si="33"/>
        <v>0</v>
      </c>
      <c r="V148" s="112"/>
      <c r="W148" s="112"/>
    </row>
    <row r="149" spans="1:23" ht="15.5" x14ac:dyDescent="0.35">
      <c r="A149" s="73">
        <v>523121</v>
      </c>
      <c r="B149" s="74" t="s">
        <v>79</v>
      </c>
      <c r="C149" s="75"/>
      <c r="D149" s="76"/>
      <c r="E149" s="77"/>
      <c r="F149" s="78"/>
      <c r="G149" s="79"/>
      <c r="H149" s="80"/>
      <c r="I149" s="80"/>
      <c r="J149" s="80"/>
      <c r="K149" s="80"/>
      <c r="L149" s="80"/>
      <c r="M149" s="80"/>
      <c r="N149" s="80"/>
      <c r="O149" s="81"/>
      <c r="P149" s="82"/>
      <c r="Q149" s="83"/>
      <c r="R149" s="84"/>
      <c r="S149" s="85">
        <f t="shared" si="33"/>
        <v>1161946000</v>
      </c>
      <c r="T149" s="85">
        <f t="shared" si="33"/>
        <v>1161946000</v>
      </c>
      <c r="U149" s="85">
        <f t="shared" si="33"/>
        <v>0</v>
      </c>
      <c r="V149" s="85"/>
      <c r="W149" s="85"/>
    </row>
    <row r="150" spans="1:23" ht="15.5" x14ac:dyDescent="0.35">
      <c r="A150" s="49"/>
      <c r="B150" s="86" t="s">
        <v>26</v>
      </c>
      <c r="C150" s="87" t="s">
        <v>92</v>
      </c>
      <c r="D150" s="88"/>
      <c r="E150" s="89"/>
      <c r="F150" s="90"/>
      <c r="G150" s="91"/>
      <c r="H150" s="92"/>
      <c r="I150" s="92"/>
      <c r="J150" s="92"/>
      <c r="K150" s="92"/>
      <c r="L150" s="92"/>
      <c r="M150" s="92"/>
      <c r="N150" s="92"/>
      <c r="O150" s="92"/>
      <c r="P150" s="93"/>
      <c r="Q150" s="94"/>
      <c r="R150" s="95"/>
      <c r="S150" s="96">
        <f>S151+S161+S165+S170+S174</f>
        <v>1161946000</v>
      </c>
      <c r="T150" s="96">
        <f>T151+T161+T165+T170+T174</f>
        <v>1161946000</v>
      </c>
      <c r="U150" s="96">
        <f>U151+U161+U165+U170+U174</f>
        <v>0</v>
      </c>
      <c r="V150" s="96"/>
      <c r="W150" s="96"/>
    </row>
    <row r="151" spans="1:23" ht="15.5" x14ac:dyDescent="0.35">
      <c r="A151" s="49"/>
      <c r="B151" s="50"/>
      <c r="C151" s="67" t="s">
        <v>27</v>
      </c>
      <c r="D151" s="68" t="s">
        <v>93</v>
      </c>
      <c r="E151" s="69"/>
      <c r="F151" s="41"/>
      <c r="G151" s="26"/>
      <c r="H151" s="7"/>
      <c r="I151" s="7"/>
      <c r="J151" s="7"/>
      <c r="K151" s="7"/>
      <c r="L151" s="7"/>
      <c r="M151" s="7"/>
      <c r="N151" s="7"/>
      <c r="O151" s="7"/>
      <c r="P151" s="44"/>
      <c r="Q151" s="156"/>
      <c r="R151" s="156"/>
      <c r="S151" s="157">
        <f>SUM(S152:S160)</f>
        <v>452880000</v>
      </c>
      <c r="T151" s="157">
        <f>SUM(T152:T160)</f>
        <v>452880000</v>
      </c>
      <c r="U151" s="157">
        <f>SUM(U152:U160)</f>
        <v>0</v>
      </c>
      <c r="V151" s="157"/>
      <c r="W151" s="157"/>
    </row>
    <row r="152" spans="1:23" ht="15.5" x14ac:dyDescent="0.35">
      <c r="A152" s="49"/>
      <c r="B152" s="50"/>
      <c r="C152" s="51"/>
      <c r="D152" s="152" t="s">
        <v>94</v>
      </c>
      <c r="E152" s="40"/>
      <c r="F152" s="48"/>
      <c r="G152" s="47"/>
      <c r="H152" s="154">
        <v>25</v>
      </c>
      <c r="I152" s="42" t="s">
        <v>100</v>
      </c>
      <c r="J152" s="42" t="s">
        <v>0</v>
      </c>
      <c r="K152" s="42">
        <v>4</v>
      </c>
      <c r="L152" s="42" t="s">
        <v>1</v>
      </c>
      <c r="M152" s="72" t="s">
        <v>0</v>
      </c>
      <c r="N152" s="72">
        <v>1</v>
      </c>
      <c r="O152" s="72" t="s">
        <v>13</v>
      </c>
      <c r="P152" s="44"/>
      <c r="Q152" s="45">
        <f t="shared" ref="Q152:Q157" si="34">H152*K152*N152</f>
        <v>100</v>
      </c>
      <c r="R152" s="46">
        <v>2442000</v>
      </c>
      <c r="S152" s="27">
        <v>244200000</v>
      </c>
      <c r="T152" s="27">
        <f t="shared" ref="T152:T160" si="35">Q152*R152</f>
        <v>244200000</v>
      </c>
      <c r="U152" s="292">
        <f t="shared" ref="U152:U160" si="36">S152-T152</f>
        <v>0</v>
      </c>
      <c r="V152" s="27"/>
      <c r="W152" s="27"/>
    </row>
    <row r="153" spans="1:23" ht="15.5" x14ac:dyDescent="0.35">
      <c r="A153" s="49"/>
      <c r="B153" s="50"/>
      <c r="C153" s="51"/>
      <c r="D153" s="152" t="s">
        <v>95</v>
      </c>
      <c r="E153" s="40"/>
      <c r="F153" s="48"/>
      <c r="G153" s="47"/>
      <c r="H153" s="154">
        <v>1</v>
      </c>
      <c r="I153" s="42" t="s">
        <v>100</v>
      </c>
      <c r="J153" s="42" t="s">
        <v>0</v>
      </c>
      <c r="K153" s="42">
        <v>4</v>
      </c>
      <c r="L153" s="42" t="s">
        <v>1</v>
      </c>
      <c r="M153" s="72" t="s">
        <v>0</v>
      </c>
      <c r="N153" s="72">
        <v>1</v>
      </c>
      <c r="O153" s="72" t="s">
        <v>13</v>
      </c>
      <c r="P153" s="44"/>
      <c r="Q153" s="45">
        <f t="shared" si="34"/>
        <v>4</v>
      </c>
      <c r="R153" s="46">
        <v>6105000</v>
      </c>
      <c r="S153" s="27">
        <v>24420000</v>
      </c>
      <c r="T153" s="27">
        <f t="shared" si="35"/>
        <v>24420000</v>
      </c>
      <c r="U153" s="292">
        <f t="shared" si="36"/>
        <v>0</v>
      </c>
      <c r="V153" s="27"/>
      <c r="W153" s="27"/>
    </row>
    <row r="154" spans="1:23" ht="15.5" x14ac:dyDescent="0.35">
      <c r="A154" s="49"/>
      <c r="B154" s="50"/>
      <c r="C154" s="51"/>
      <c r="D154" s="152" t="s">
        <v>96</v>
      </c>
      <c r="E154" s="40"/>
      <c r="F154" s="48"/>
      <c r="G154" s="47"/>
      <c r="H154" s="154">
        <v>1</v>
      </c>
      <c r="I154" s="42" t="s">
        <v>100</v>
      </c>
      <c r="J154" s="42" t="s">
        <v>0</v>
      </c>
      <c r="K154" s="42">
        <v>4</v>
      </c>
      <c r="L154" s="42" t="s">
        <v>1</v>
      </c>
      <c r="M154" s="72" t="s">
        <v>0</v>
      </c>
      <c r="N154" s="72">
        <v>1</v>
      </c>
      <c r="O154" s="72" t="s">
        <v>13</v>
      </c>
      <c r="P154" s="44"/>
      <c r="Q154" s="45">
        <f t="shared" si="34"/>
        <v>4</v>
      </c>
      <c r="R154" s="46">
        <v>7770000</v>
      </c>
      <c r="S154" s="27">
        <v>31080000</v>
      </c>
      <c r="T154" s="27">
        <f t="shared" si="35"/>
        <v>31080000</v>
      </c>
      <c r="U154" s="292">
        <f t="shared" si="36"/>
        <v>0</v>
      </c>
      <c r="V154" s="27"/>
      <c r="W154" s="27"/>
    </row>
    <row r="155" spans="1:23" ht="15.5" x14ac:dyDescent="0.35">
      <c r="A155" s="49"/>
      <c r="B155" s="50"/>
      <c r="C155" s="51"/>
      <c r="D155" s="152" t="s">
        <v>97</v>
      </c>
      <c r="E155" s="40"/>
      <c r="F155" s="48"/>
      <c r="G155" s="47"/>
      <c r="H155" s="154">
        <v>2</v>
      </c>
      <c r="I155" s="42" t="s">
        <v>100</v>
      </c>
      <c r="J155" s="42" t="s">
        <v>0</v>
      </c>
      <c r="K155" s="42">
        <v>4</v>
      </c>
      <c r="L155" s="42" t="s">
        <v>1</v>
      </c>
      <c r="M155" s="72" t="s">
        <v>0</v>
      </c>
      <c r="N155" s="72">
        <v>1</v>
      </c>
      <c r="O155" s="72" t="s">
        <v>13</v>
      </c>
      <c r="P155" s="44"/>
      <c r="Q155" s="45">
        <f t="shared" si="34"/>
        <v>8</v>
      </c>
      <c r="R155" s="46">
        <v>3885000</v>
      </c>
      <c r="S155" s="27">
        <v>31080000</v>
      </c>
      <c r="T155" s="27">
        <f t="shared" si="35"/>
        <v>31080000</v>
      </c>
      <c r="U155" s="292">
        <f t="shared" si="36"/>
        <v>0</v>
      </c>
      <c r="V155" s="27"/>
      <c r="W155" s="27"/>
    </row>
    <row r="156" spans="1:23" ht="15.5" x14ac:dyDescent="0.35">
      <c r="A156" s="49"/>
      <c r="B156" s="50"/>
      <c r="C156" s="51"/>
      <c r="D156" s="152" t="s">
        <v>98</v>
      </c>
      <c r="E156" s="40"/>
      <c r="F156" s="48"/>
      <c r="G156" s="47"/>
      <c r="H156" s="154">
        <v>2</v>
      </c>
      <c r="I156" s="42" t="s">
        <v>100</v>
      </c>
      <c r="J156" s="42" t="s">
        <v>0</v>
      </c>
      <c r="K156" s="42">
        <v>4</v>
      </c>
      <c r="L156" s="42" t="s">
        <v>1</v>
      </c>
      <c r="M156" s="72" t="s">
        <v>0</v>
      </c>
      <c r="N156" s="72">
        <v>1</v>
      </c>
      <c r="O156" s="72" t="s">
        <v>13</v>
      </c>
      <c r="P156" s="44"/>
      <c r="Q156" s="45">
        <f t="shared" si="34"/>
        <v>8</v>
      </c>
      <c r="R156" s="46">
        <v>3885000</v>
      </c>
      <c r="S156" s="27">
        <v>31080000</v>
      </c>
      <c r="T156" s="27">
        <f t="shared" si="35"/>
        <v>31080000</v>
      </c>
      <c r="U156" s="292">
        <f t="shared" si="36"/>
        <v>0</v>
      </c>
      <c r="V156" s="27"/>
      <c r="W156" s="27"/>
    </row>
    <row r="157" spans="1:23" ht="15.5" x14ac:dyDescent="0.35">
      <c r="A157" s="49"/>
      <c r="B157" s="50"/>
      <c r="C157" s="51"/>
      <c r="D157" s="152" t="s">
        <v>99</v>
      </c>
      <c r="E157" s="40"/>
      <c r="F157" s="48"/>
      <c r="G157" s="47"/>
      <c r="H157" s="154">
        <v>1</v>
      </c>
      <c r="I157" s="42" t="s">
        <v>100</v>
      </c>
      <c r="J157" s="42" t="s">
        <v>0</v>
      </c>
      <c r="K157" s="42">
        <v>4</v>
      </c>
      <c r="L157" s="42" t="s">
        <v>1</v>
      </c>
      <c r="M157" s="72" t="s">
        <v>0</v>
      </c>
      <c r="N157" s="72">
        <v>1</v>
      </c>
      <c r="O157" s="72" t="s">
        <v>13</v>
      </c>
      <c r="P157" s="44"/>
      <c r="Q157" s="45">
        <f t="shared" si="34"/>
        <v>4</v>
      </c>
      <c r="R157" s="46">
        <v>1665000</v>
      </c>
      <c r="S157" s="27">
        <v>6660000</v>
      </c>
      <c r="T157" s="27">
        <f t="shared" si="35"/>
        <v>6660000</v>
      </c>
      <c r="U157" s="292">
        <f t="shared" si="36"/>
        <v>0</v>
      </c>
      <c r="V157" s="27"/>
      <c r="W157" s="27"/>
    </row>
    <row r="158" spans="1:23" ht="15.5" x14ac:dyDescent="0.35">
      <c r="A158" s="49"/>
      <c r="B158" s="50"/>
      <c r="C158" s="51"/>
      <c r="D158" s="152" t="s">
        <v>101</v>
      </c>
      <c r="E158" s="40"/>
      <c r="F158" s="48"/>
      <c r="G158" s="47"/>
      <c r="H158" s="154">
        <v>7</v>
      </c>
      <c r="I158" s="42" t="s">
        <v>100</v>
      </c>
      <c r="J158" s="42" t="s">
        <v>0</v>
      </c>
      <c r="K158" s="42">
        <v>4</v>
      </c>
      <c r="L158" s="42" t="s">
        <v>1</v>
      </c>
      <c r="M158" s="72" t="s">
        <v>0</v>
      </c>
      <c r="N158" s="72">
        <v>1</v>
      </c>
      <c r="O158" s="72" t="s">
        <v>13</v>
      </c>
      <c r="P158" s="44"/>
      <c r="Q158" s="45">
        <f t="shared" ref="Q158:Q160" si="37">H158*K158</f>
        <v>28</v>
      </c>
      <c r="R158" s="46">
        <v>1110000</v>
      </c>
      <c r="S158" s="27">
        <v>31080000</v>
      </c>
      <c r="T158" s="27">
        <f t="shared" si="35"/>
        <v>31080000</v>
      </c>
      <c r="U158" s="292">
        <f t="shared" si="36"/>
        <v>0</v>
      </c>
      <c r="V158" s="27"/>
      <c r="W158" s="27"/>
    </row>
    <row r="159" spans="1:23" ht="15.5" x14ac:dyDescent="0.35">
      <c r="A159" s="49"/>
      <c r="B159" s="50"/>
      <c r="C159" s="51"/>
      <c r="D159" s="152" t="s">
        <v>102</v>
      </c>
      <c r="E159" s="40"/>
      <c r="F159" s="48"/>
      <c r="G159" s="47"/>
      <c r="H159" s="154">
        <v>7</v>
      </c>
      <c r="I159" s="42" t="s">
        <v>100</v>
      </c>
      <c r="J159" s="42" t="s">
        <v>0</v>
      </c>
      <c r="K159" s="42">
        <v>4</v>
      </c>
      <c r="L159" s="42" t="s">
        <v>1</v>
      </c>
      <c r="M159" s="72" t="s">
        <v>0</v>
      </c>
      <c r="N159" s="72">
        <v>1</v>
      </c>
      <c r="O159" s="72" t="s">
        <v>13</v>
      </c>
      <c r="P159" s="44"/>
      <c r="Q159" s="45">
        <f t="shared" si="37"/>
        <v>28</v>
      </c>
      <c r="R159" s="46">
        <v>1110000</v>
      </c>
      <c r="S159" s="27">
        <v>31080000</v>
      </c>
      <c r="T159" s="27">
        <f t="shared" si="35"/>
        <v>31080000</v>
      </c>
      <c r="U159" s="292">
        <f t="shared" si="36"/>
        <v>0</v>
      </c>
      <c r="V159" s="27"/>
      <c r="W159" s="27"/>
    </row>
    <row r="160" spans="1:23" ht="15.5" x14ac:dyDescent="0.35">
      <c r="A160" s="49"/>
      <c r="B160" s="50"/>
      <c r="C160" s="51"/>
      <c r="D160" s="152" t="s">
        <v>103</v>
      </c>
      <c r="E160" s="40"/>
      <c r="F160" s="48"/>
      <c r="G160" s="47"/>
      <c r="H160" s="154">
        <v>5</v>
      </c>
      <c r="I160" s="42" t="s">
        <v>100</v>
      </c>
      <c r="J160" s="42" t="s">
        <v>0</v>
      </c>
      <c r="K160" s="42">
        <v>4</v>
      </c>
      <c r="L160" s="42" t="s">
        <v>1</v>
      </c>
      <c r="M160" s="72" t="s">
        <v>0</v>
      </c>
      <c r="N160" s="72">
        <v>1</v>
      </c>
      <c r="O160" s="72" t="s">
        <v>13</v>
      </c>
      <c r="P160" s="44"/>
      <c r="Q160" s="45">
        <f t="shared" si="37"/>
        <v>20</v>
      </c>
      <c r="R160" s="46">
        <v>1110000</v>
      </c>
      <c r="S160" s="27">
        <v>22200000</v>
      </c>
      <c r="T160" s="27">
        <f t="shared" si="35"/>
        <v>22200000</v>
      </c>
      <c r="U160" s="292">
        <f t="shared" si="36"/>
        <v>0</v>
      </c>
      <c r="V160" s="27"/>
      <c r="W160" s="27"/>
    </row>
    <row r="161" spans="1:23" ht="15.5" x14ac:dyDescent="0.35">
      <c r="A161" s="49"/>
      <c r="B161" s="50"/>
      <c r="C161" s="67" t="s">
        <v>104</v>
      </c>
      <c r="D161" s="68" t="s">
        <v>105</v>
      </c>
      <c r="E161" s="69"/>
      <c r="F161" s="41"/>
      <c r="G161" s="26"/>
      <c r="H161" s="7"/>
      <c r="I161" s="7"/>
      <c r="J161" s="7"/>
      <c r="K161" s="7"/>
      <c r="L161" s="7"/>
      <c r="M161" s="7"/>
      <c r="N161" s="7"/>
      <c r="O161" s="7"/>
      <c r="P161" s="44"/>
      <c r="Q161" s="156"/>
      <c r="R161" s="156"/>
      <c r="S161" s="157">
        <f>SUM(S162:S164)</f>
        <v>214896000</v>
      </c>
      <c r="T161" s="157">
        <f>SUM(T162:T164)</f>
        <v>214896000</v>
      </c>
      <c r="U161" s="157">
        <f>SUM(U162:U164)</f>
        <v>0</v>
      </c>
      <c r="V161" s="157"/>
      <c r="W161" s="157"/>
    </row>
    <row r="162" spans="1:23" ht="15.5" x14ac:dyDescent="0.35">
      <c r="A162" s="49"/>
      <c r="B162" s="50"/>
      <c r="C162" s="51"/>
      <c r="D162" s="152" t="s">
        <v>106</v>
      </c>
      <c r="E162" s="40"/>
      <c r="F162" s="48"/>
      <c r="G162" s="47"/>
      <c r="H162" s="154">
        <v>2</v>
      </c>
      <c r="I162" s="42" t="s">
        <v>100</v>
      </c>
      <c r="J162" s="42" t="s">
        <v>0</v>
      </c>
      <c r="K162" s="42">
        <v>4</v>
      </c>
      <c r="L162" s="42" t="s">
        <v>1</v>
      </c>
      <c r="M162" s="72" t="s">
        <v>0</v>
      </c>
      <c r="N162" s="72">
        <v>1</v>
      </c>
      <c r="O162" s="72" t="s">
        <v>13</v>
      </c>
      <c r="P162" s="44"/>
      <c r="Q162" s="45">
        <f>H162*K162*N162</f>
        <v>8</v>
      </c>
      <c r="R162" s="155">
        <v>12210000</v>
      </c>
      <c r="S162" s="27">
        <v>97680000</v>
      </c>
      <c r="T162" s="27">
        <f>Q162*R162</f>
        <v>97680000</v>
      </c>
      <c r="U162" s="292">
        <f>S162-T162</f>
        <v>0</v>
      </c>
      <c r="V162" s="27"/>
      <c r="W162" s="27"/>
    </row>
    <row r="163" spans="1:23" ht="15.5" x14ac:dyDescent="0.35">
      <c r="A163" s="49"/>
      <c r="B163" s="50"/>
      <c r="C163" s="51"/>
      <c r="D163" s="152" t="s">
        <v>107</v>
      </c>
      <c r="E163" s="40"/>
      <c r="F163" s="48"/>
      <c r="G163" s="47"/>
      <c r="H163" s="154">
        <v>1</v>
      </c>
      <c r="I163" s="42" t="s">
        <v>100</v>
      </c>
      <c r="J163" s="42" t="s">
        <v>0</v>
      </c>
      <c r="K163" s="42">
        <v>4</v>
      </c>
      <c r="L163" s="42" t="s">
        <v>1</v>
      </c>
      <c r="M163" s="72" t="s">
        <v>0</v>
      </c>
      <c r="N163" s="72">
        <v>1</v>
      </c>
      <c r="O163" s="72" t="s">
        <v>13</v>
      </c>
      <c r="P163" s="44"/>
      <c r="Q163" s="45">
        <f>H163*K163*N163</f>
        <v>4</v>
      </c>
      <c r="R163" s="155">
        <v>21978000</v>
      </c>
      <c r="S163" s="27">
        <v>87912000</v>
      </c>
      <c r="T163" s="27">
        <f>Q163*R163</f>
        <v>87912000</v>
      </c>
      <c r="U163" s="292">
        <f>S163-T163</f>
        <v>0</v>
      </c>
      <c r="V163" s="27"/>
      <c r="W163" s="27"/>
    </row>
    <row r="164" spans="1:23" ht="15.5" x14ac:dyDescent="0.35">
      <c r="A164" s="49"/>
      <c r="B164" s="50"/>
      <c r="C164" s="51"/>
      <c r="D164" s="152" t="s">
        <v>108</v>
      </c>
      <c r="E164" s="40"/>
      <c r="F164" s="48"/>
      <c r="G164" s="47"/>
      <c r="H164" s="154">
        <v>3</v>
      </c>
      <c r="I164" s="42" t="s">
        <v>100</v>
      </c>
      <c r="J164" s="42" t="s">
        <v>0</v>
      </c>
      <c r="K164" s="42">
        <v>4</v>
      </c>
      <c r="L164" s="42" t="s">
        <v>1</v>
      </c>
      <c r="M164" s="72" t="s">
        <v>0</v>
      </c>
      <c r="N164" s="72">
        <v>1</v>
      </c>
      <c r="O164" s="72" t="s">
        <v>13</v>
      </c>
      <c r="P164" s="44"/>
      <c r="Q164" s="45">
        <f>H164*K164*N164</f>
        <v>12</v>
      </c>
      <c r="R164" s="155">
        <v>2442000</v>
      </c>
      <c r="S164" s="27">
        <v>29304000</v>
      </c>
      <c r="T164" s="27">
        <f>Q164*R164</f>
        <v>29304000</v>
      </c>
      <c r="U164" s="292">
        <f>S164-T164</f>
        <v>0</v>
      </c>
      <c r="V164" s="27"/>
      <c r="W164" s="27"/>
    </row>
    <row r="165" spans="1:23" ht="15.5" x14ac:dyDescent="0.35">
      <c r="A165" s="49"/>
      <c r="B165" s="50"/>
      <c r="C165" s="67" t="s">
        <v>33</v>
      </c>
      <c r="D165" s="68" t="s">
        <v>109</v>
      </c>
      <c r="E165" s="69"/>
      <c r="F165" s="41"/>
      <c r="G165" s="26"/>
      <c r="H165" s="7"/>
      <c r="I165" s="7"/>
      <c r="J165" s="7"/>
      <c r="K165" s="7"/>
      <c r="L165" s="7"/>
      <c r="M165" s="7"/>
      <c r="N165" s="7"/>
      <c r="O165" s="7"/>
      <c r="P165" s="44"/>
      <c r="Q165" s="156"/>
      <c r="R165" s="156"/>
      <c r="S165" s="157">
        <f>SUM(S166:S169)</f>
        <v>193140000</v>
      </c>
      <c r="T165" s="157">
        <f>SUM(T166:T169)</f>
        <v>193140000</v>
      </c>
      <c r="U165" s="331">
        <f>SUM(U166:U169)</f>
        <v>0</v>
      </c>
      <c r="V165" s="157"/>
      <c r="W165" s="157"/>
    </row>
    <row r="166" spans="1:23" ht="15.5" x14ac:dyDescent="0.35">
      <c r="A166" s="49"/>
      <c r="B166" s="50"/>
      <c r="C166" s="51"/>
      <c r="D166" s="152" t="s">
        <v>110</v>
      </c>
      <c r="E166" s="40"/>
      <c r="F166" s="48"/>
      <c r="G166" s="47"/>
      <c r="H166" s="154">
        <v>1</v>
      </c>
      <c r="I166" s="42" t="s">
        <v>100</v>
      </c>
      <c r="J166" s="42" t="s">
        <v>0</v>
      </c>
      <c r="K166" s="42">
        <v>4</v>
      </c>
      <c r="L166" s="42" t="s">
        <v>1</v>
      </c>
      <c r="M166" s="72" t="s">
        <v>0</v>
      </c>
      <c r="N166" s="72">
        <v>1</v>
      </c>
      <c r="O166" s="72" t="s">
        <v>13</v>
      </c>
      <c r="P166" s="44"/>
      <c r="Q166" s="45">
        <f>H166*K166*N166</f>
        <v>4</v>
      </c>
      <c r="R166" s="309">
        <v>14430000</v>
      </c>
      <c r="S166" s="27">
        <f>R166*Q166</f>
        <v>57720000</v>
      </c>
      <c r="T166" s="27">
        <f>Q166*R166</f>
        <v>57720000</v>
      </c>
      <c r="U166" s="292">
        <f>S166-T166</f>
        <v>0</v>
      </c>
      <c r="V166" s="27"/>
      <c r="W166" s="27"/>
    </row>
    <row r="167" spans="1:23" ht="15.5" x14ac:dyDescent="0.35">
      <c r="A167" s="49"/>
      <c r="B167" s="50"/>
      <c r="C167" s="51"/>
      <c r="D167" s="152" t="s">
        <v>111</v>
      </c>
      <c r="E167" s="40"/>
      <c r="F167" s="48"/>
      <c r="G167" s="47"/>
      <c r="H167" s="154">
        <v>17</v>
      </c>
      <c r="I167" s="42" t="s">
        <v>100</v>
      </c>
      <c r="J167" s="42" t="s">
        <v>0</v>
      </c>
      <c r="K167" s="42">
        <v>4</v>
      </c>
      <c r="L167" s="42" t="s">
        <v>1</v>
      </c>
      <c r="M167" s="72" t="s">
        <v>0</v>
      </c>
      <c r="N167" s="72">
        <v>1</v>
      </c>
      <c r="O167" s="72" t="s">
        <v>13</v>
      </c>
      <c r="P167" s="44"/>
      <c r="Q167" s="45">
        <f>H167*K167*N167</f>
        <v>68</v>
      </c>
      <c r="R167" s="155">
        <v>555000</v>
      </c>
      <c r="S167" s="27">
        <f t="shared" ref="S167:S169" si="38">R167*Q167</f>
        <v>37740000</v>
      </c>
      <c r="T167" s="27">
        <f>Q167*R167</f>
        <v>37740000</v>
      </c>
      <c r="U167" s="292">
        <f>S167-T167</f>
        <v>0</v>
      </c>
      <c r="V167" s="27"/>
      <c r="W167" s="27"/>
    </row>
    <row r="168" spans="1:23" ht="15.5" x14ac:dyDescent="0.35">
      <c r="A168" s="49"/>
      <c r="B168" s="50"/>
      <c r="C168" s="51"/>
      <c r="D168" s="152" t="s">
        <v>112</v>
      </c>
      <c r="E168" s="40"/>
      <c r="F168" s="48"/>
      <c r="G168" s="47"/>
      <c r="H168" s="154">
        <v>1</v>
      </c>
      <c r="I168" s="42" t="s">
        <v>100</v>
      </c>
      <c r="J168" s="42" t="s">
        <v>0</v>
      </c>
      <c r="K168" s="42">
        <v>4</v>
      </c>
      <c r="L168" s="42" t="s">
        <v>1</v>
      </c>
      <c r="M168" s="72" t="s">
        <v>0</v>
      </c>
      <c r="N168" s="72">
        <v>1</v>
      </c>
      <c r="O168" s="72" t="s">
        <v>13</v>
      </c>
      <c r="P168" s="44"/>
      <c r="Q168" s="45">
        <f>H168*K168*N168</f>
        <v>4</v>
      </c>
      <c r="R168" s="155">
        <v>11100000</v>
      </c>
      <c r="S168" s="27">
        <f t="shared" si="38"/>
        <v>44400000</v>
      </c>
      <c r="T168" s="27">
        <f>Q168*R168</f>
        <v>44400000</v>
      </c>
      <c r="U168" s="292">
        <f>S168-T168</f>
        <v>0</v>
      </c>
      <c r="V168" s="27"/>
      <c r="W168" s="27"/>
    </row>
    <row r="169" spans="1:23" ht="15.5" x14ac:dyDescent="0.35">
      <c r="A169" s="49"/>
      <c r="B169" s="50"/>
      <c r="C169" s="51"/>
      <c r="D169" s="152" t="s">
        <v>113</v>
      </c>
      <c r="E169" s="40"/>
      <c r="F169" s="48"/>
      <c r="G169" s="47"/>
      <c r="H169" s="154">
        <v>15</v>
      </c>
      <c r="I169" s="42" t="s">
        <v>100</v>
      </c>
      <c r="J169" s="42" t="s">
        <v>0</v>
      </c>
      <c r="K169" s="42">
        <v>4</v>
      </c>
      <c r="L169" s="42" t="s">
        <v>1</v>
      </c>
      <c r="M169" s="72" t="s">
        <v>0</v>
      </c>
      <c r="N169" s="72">
        <v>1</v>
      </c>
      <c r="O169" s="72" t="s">
        <v>13</v>
      </c>
      <c r="P169" s="44"/>
      <c r="Q169" s="45">
        <f>H169*K169*N169</f>
        <v>60</v>
      </c>
      <c r="R169" s="309">
        <v>888000</v>
      </c>
      <c r="S169" s="27">
        <f t="shared" si="38"/>
        <v>53280000</v>
      </c>
      <c r="T169" s="27">
        <f>Q169*R169</f>
        <v>53280000</v>
      </c>
      <c r="U169" s="292">
        <f>S169-T169</f>
        <v>0</v>
      </c>
      <c r="V169" s="27"/>
      <c r="W169" s="27"/>
    </row>
    <row r="170" spans="1:23" ht="15.5" x14ac:dyDescent="0.35">
      <c r="A170" s="49"/>
      <c r="B170" s="50"/>
      <c r="C170" s="67" t="s">
        <v>34</v>
      </c>
      <c r="D170" s="68" t="s">
        <v>114</v>
      </c>
      <c r="E170" s="69"/>
      <c r="F170" s="41"/>
      <c r="G170" s="26"/>
      <c r="H170" s="7"/>
      <c r="I170" s="7"/>
      <c r="J170" s="7"/>
      <c r="K170" s="7"/>
      <c r="L170" s="7"/>
      <c r="M170" s="7"/>
      <c r="N170" s="7"/>
      <c r="O170" s="7"/>
      <c r="P170" s="44"/>
      <c r="Q170" s="156"/>
      <c r="R170" s="156"/>
      <c r="S170" s="157">
        <f>SUM(S171:S173)</f>
        <v>51060000</v>
      </c>
      <c r="T170" s="157">
        <f>SUM(T171:T173)</f>
        <v>51060000</v>
      </c>
      <c r="U170" s="157">
        <f>SUM(U171:U173)</f>
        <v>0</v>
      </c>
      <c r="V170" s="157"/>
      <c r="W170" s="157"/>
    </row>
    <row r="171" spans="1:23" ht="15.5" x14ac:dyDescent="0.35">
      <c r="A171" s="49"/>
      <c r="B171" s="50"/>
      <c r="C171" s="51"/>
      <c r="D171" s="151" t="s">
        <v>115</v>
      </c>
      <c r="E171" s="40"/>
      <c r="F171" s="48"/>
      <c r="G171" s="47"/>
      <c r="H171" s="153">
        <v>18</v>
      </c>
      <c r="I171" s="42" t="s">
        <v>100</v>
      </c>
      <c r="J171" s="42" t="s">
        <v>0</v>
      </c>
      <c r="K171" s="42">
        <v>4</v>
      </c>
      <c r="L171" s="42" t="s">
        <v>1</v>
      </c>
      <c r="M171" s="72" t="s">
        <v>0</v>
      </c>
      <c r="N171" s="72">
        <v>1</v>
      </c>
      <c r="O171" s="72" t="s">
        <v>13</v>
      </c>
      <c r="P171" s="44"/>
      <c r="Q171" s="45">
        <f>H171*K171*N171</f>
        <v>72</v>
      </c>
      <c r="R171" s="155">
        <v>555000</v>
      </c>
      <c r="S171" s="27">
        <v>39960000</v>
      </c>
      <c r="T171" s="27">
        <f>Q171*R171</f>
        <v>39960000</v>
      </c>
      <c r="U171" s="292">
        <f>S171-T171</f>
        <v>0</v>
      </c>
      <c r="V171" s="27"/>
      <c r="W171" s="27"/>
    </row>
    <row r="172" spans="1:23" ht="15.5" x14ac:dyDescent="0.35">
      <c r="A172" s="49"/>
      <c r="B172" s="50"/>
      <c r="C172" s="51"/>
      <c r="D172" s="151" t="s">
        <v>116</v>
      </c>
      <c r="E172" s="40"/>
      <c r="F172" s="48"/>
      <c r="G172" s="47"/>
      <c r="H172" s="153">
        <v>1</v>
      </c>
      <c r="I172" s="42" t="s">
        <v>100</v>
      </c>
      <c r="J172" s="42" t="s">
        <v>0</v>
      </c>
      <c r="K172" s="42">
        <v>4</v>
      </c>
      <c r="L172" s="42" t="s">
        <v>1</v>
      </c>
      <c r="M172" s="72" t="s">
        <v>0</v>
      </c>
      <c r="N172" s="72">
        <v>1</v>
      </c>
      <c r="O172" s="72" t="s">
        <v>13</v>
      </c>
      <c r="P172" s="44"/>
      <c r="Q172" s="45">
        <f>H172*K172*N172</f>
        <v>4</v>
      </c>
      <c r="R172" s="155">
        <v>555000</v>
      </c>
      <c r="S172" s="27">
        <v>2220000</v>
      </c>
      <c r="T172" s="27">
        <f>Q172*R172</f>
        <v>2220000</v>
      </c>
      <c r="U172" s="292">
        <f>S172-T172</f>
        <v>0</v>
      </c>
      <c r="V172" s="27"/>
      <c r="W172" s="27"/>
    </row>
    <row r="173" spans="1:23" ht="15.5" x14ac:dyDescent="0.35">
      <c r="A173" s="49"/>
      <c r="B173" s="50"/>
      <c r="C173" s="51"/>
      <c r="D173" s="151" t="s">
        <v>117</v>
      </c>
      <c r="E173" s="40"/>
      <c r="F173" s="48"/>
      <c r="G173" s="47"/>
      <c r="H173" s="153">
        <v>1</v>
      </c>
      <c r="I173" s="42" t="s">
        <v>100</v>
      </c>
      <c r="J173" s="42" t="s">
        <v>0</v>
      </c>
      <c r="K173" s="42">
        <v>4</v>
      </c>
      <c r="L173" s="42" t="s">
        <v>1</v>
      </c>
      <c r="M173" s="72" t="s">
        <v>0</v>
      </c>
      <c r="N173" s="72">
        <v>1</v>
      </c>
      <c r="O173" s="72" t="s">
        <v>13</v>
      </c>
      <c r="P173" s="44"/>
      <c r="Q173" s="45">
        <f>H173*K173*N173</f>
        <v>4</v>
      </c>
      <c r="R173" s="155">
        <v>2220000</v>
      </c>
      <c r="S173" s="27">
        <v>8880000</v>
      </c>
      <c r="T173" s="27">
        <f>Q173*R173</f>
        <v>8880000</v>
      </c>
      <c r="U173" s="292">
        <f>S173-T173</f>
        <v>0</v>
      </c>
      <c r="V173" s="27"/>
      <c r="W173" s="27"/>
    </row>
    <row r="174" spans="1:23" ht="15.5" x14ac:dyDescent="0.35">
      <c r="A174" s="198"/>
      <c r="B174" s="199"/>
      <c r="C174" s="255" t="s">
        <v>50</v>
      </c>
      <c r="D174" s="30" t="s">
        <v>118</v>
      </c>
      <c r="E174" s="256"/>
      <c r="F174" s="257"/>
      <c r="G174" s="258"/>
      <c r="H174" s="259">
        <v>1</v>
      </c>
      <c r="I174" s="204" t="s">
        <v>100</v>
      </c>
      <c r="J174" s="204" t="s">
        <v>0</v>
      </c>
      <c r="K174" s="204">
        <v>1</v>
      </c>
      <c r="L174" s="204" t="s">
        <v>120</v>
      </c>
      <c r="M174" s="205" t="s">
        <v>0</v>
      </c>
      <c r="N174" s="205">
        <v>1</v>
      </c>
      <c r="O174" s="205" t="s">
        <v>13</v>
      </c>
      <c r="P174" s="231"/>
      <c r="Q174" s="207">
        <f>H174*K174*N174</f>
        <v>1</v>
      </c>
      <c r="R174" s="332">
        <v>249970000</v>
      </c>
      <c r="S174" s="260">
        <f>Q174*R174</f>
        <v>249970000</v>
      </c>
      <c r="T174" s="260">
        <f>Q174*R174</f>
        <v>249970000</v>
      </c>
      <c r="U174" s="333">
        <f>S174-T174</f>
        <v>0</v>
      </c>
      <c r="V174" s="157"/>
      <c r="W174" s="157"/>
    </row>
    <row r="175" spans="1:23" ht="15.5" x14ac:dyDescent="0.35">
      <c r="A175" s="209"/>
      <c r="B175" s="210"/>
      <c r="C175" s="261"/>
      <c r="D175" s="261"/>
      <c r="E175" s="262"/>
      <c r="F175" s="263"/>
      <c r="G175" s="264"/>
      <c r="H175" s="265"/>
      <c r="I175" s="214"/>
      <c r="J175" s="214"/>
      <c r="K175" s="214"/>
      <c r="L175" s="214"/>
      <c r="M175" s="215"/>
      <c r="N175" s="215"/>
      <c r="O175" s="215"/>
      <c r="P175" s="232"/>
      <c r="Q175" s="217"/>
      <c r="R175" s="266"/>
      <c r="S175" s="267"/>
      <c r="T175" s="267"/>
      <c r="U175" s="267"/>
      <c r="V175" s="254"/>
      <c r="W175" s="253"/>
    </row>
    <row r="176" spans="1:23" ht="15.5" x14ac:dyDescent="0.35">
      <c r="A176" s="233"/>
      <c r="B176" s="28"/>
      <c r="C176" s="30"/>
      <c r="D176" s="30"/>
      <c r="E176" s="268"/>
      <c r="F176" s="269"/>
      <c r="G176" s="10"/>
      <c r="H176" s="270"/>
      <c r="I176" s="3"/>
      <c r="J176" s="3"/>
      <c r="K176" s="3"/>
      <c r="L176" s="3"/>
      <c r="M176" s="193"/>
      <c r="N176" s="193"/>
      <c r="O176" s="193"/>
      <c r="P176" s="4"/>
      <c r="Q176" s="5"/>
      <c r="R176" s="271"/>
      <c r="S176" s="272"/>
      <c r="T176" s="272"/>
      <c r="U176" s="272"/>
      <c r="V176" s="254"/>
      <c r="W176" s="253"/>
    </row>
    <row r="177" spans="1:23" ht="15.5" x14ac:dyDescent="0.35">
      <c r="A177" s="233"/>
      <c r="B177" s="28"/>
      <c r="C177" s="30"/>
      <c r="D177" s="30"/>
      <c r="E177" s="268"/>
      <c r="F177" s="269"/>
      <c r="G177" s="10"/>
      <c r="H177" s="270"/>
      <c r="I177" s="3"/>
      <c r="J177" s="3"/>
      <c r="K177" s="3"/>
      <c r="L177" s="3"/>
      <c r="M177" s="193"/>
      <c r="N177" s="193"/>
      <c r="O177" s="193"/>
      <c r="P177" s="4"/>
      <c r="Q177" s="5"/>
      <c r="R177" s="271"/>
      <c r="S177" s="272"/>
      <c r="T177" s="272"/>
      <c r="U177" s="272"/>
      <c r="V177" s="254"/>
      <c r="W177" s="253"/>
    </row>
    <row r="178" spans="1:23" ht="15.5" x14ac:dyDescent="0.35">
      <c r="A178" s="233"/>
      <c r="B178" s="28"/>
      <c r="C178" s="30"/>
      <c r="D178" s="30"/>
      <c r="E178" s="268"/>
      <c r="F178" s="269"/>
      <c r="G178" s="10"/>
      <c r="H178" s="270"/>
      <c r="I178" s="3"/>
      <c r="J178" s="3"/>
      <c r="K178" s="3"/>
      <c r="L178" s="3"/>
      <c r="M178" s="193"/>
      <c r="N178" s="193"/>
      <c r="O178" s="193"/>
      <c r="P178" s="4"/>
      <c r="Q178" s="5"/>
      <c r="R178" s="271"/>
      <c r="S178" s="272"/>
      <c r="T178" s="272"/>
      <c r="U178" s="272"/>
      <c r="V178" s="254"/>
      <c r="W178" s="253"/>
    </row>
    <row r="179" spans="1:23" ht="15.5" x14ac:dyDescent="0.35">
      <c r="A179" s="233"/>
      <c r="B179" s="28"/>
      <c r="C179" s="30"/>
      <c r="D179" s="30"/>
      <c r="E179" s="268"/>
      <c r="F179" s="269"/>
      <c r="G179" s="10"/>
      <c r="H179" s="270"/>
      <c r="I179" s="3"/>
      <c r="J179" s="3"/>
      <c r="K179" s="3"/>
      <c r="L179" s="3"/>
      <c r="M179" s="193"/>
      <c r="N179" s="193"/>
      <c r="O179" s="193"/>
      <c r="P179" s="4"/>
      <c r="Q179" s="5"/>
      <c r="R179" s="271"/>
      <c r="S179" s="272"/>
      <c r="T179" s="272"/>
      <c r="U179" s="272"/>
      <c r="V179" s="254"/>
      <c r="W179" s="253"/>
    </row>
    <row r="180" spans="1:23" ht="15.5" x14ac:dyDescent="0.35">
      <c r="A180" s="220"/>
      <c r="B180" s="221"/>
      <c r="C180" s="273"/>
      <c r="D180" s="273"/>
      <c r="E180" s="274"/>
      <c r="F180" s="275"/>
      <c r="G180" s="276"/>
      <c r="H180" s="277"/>
      <c r="I180" s="225"/>
      <c r="J180" s="225"/>
      <c r="K180" s="225"/>
      <c r="L180" s="225"/>
      <c r="M180" s="226"/>
      <c r="N180" s="226"/>
      <c r="O180" s="226"/>
      <c r="P180" s="237"/>
      <c r="Q180" s="228"/>
      <c r="R180" s="278"/>
      <c r="S180" s="279"/>
      <c r="T180" s="279"/>
      <c r="U180" s="279"/>
      <c r="V180" s="254"/>
      <c r="W180" s="253"/>
    </row>
    <row r="181" spans="1:23" ht="15" customHeight="1" x14ac:dyDescent="0.35">
      <c r="A181" s="345" t="s">
        <v>16</v>
      </c>
      <c r="B181" s="352" t="s">
        <v>2</v>
      </c>
      <c r="C181" s="353"/>
      <c r="D181" s="353"/>
      <c r="E181" s="354"/>
      <c r="F181" s="358" t="s">
        <v>3</v>
      </c>
      <c r="G181" s="358" t="s">
        <v>4</v>
      </c>
      <c r="H181" s="360" t="s">
        <v>5</v>
      </c>
      <c r="I181" s="361"/>
      <c r="J181" s="361"/>
      <c r="K181" s="361"/>
      <c r="L181" s="361"/>
      <c r="M181" s="361"/>
      <c r="N181" s="361"/>
      <c r="O181" s="361"/>
      <c r="P181" s="361"/>
      <c r="Q181" s="362"/>
      <c r="R181" s="358" t="s">
        <v>6</v>
      </c>
      <c r="S181" s="345" t="s">
        <v>7</v>
      </c>
      <c r="T181" s="345" t="s">
        <v>7</v>
      </c>
      <c r="U181" s="345" t="s">
        <v>7</v>
      </c>
      <c r="V181" s="345" t="s">
        <v>153</v>
      </c>
      <c r="W181" s="345" t="s">
        <v>150</v>
      </c>
    </row>
    <row r="182" spans="1:23" ht="30.75" customHeight="1" x14ac:dyDescent="0.35">
      <c r="A182" s="346"/>
      <c r="B182" s="355"/>
      <c r="C182" s="356"/>
      <c r="D182" s="356"/>
      <c r="E182" s="357"/>
      <c r="F182" s="359"/>
      <c r="G182" s="359"/>
      <c r="H182" s="33"/>
      <c r="I182" s="34"/>
      <c r="J182" s="34"/>
      <c r="K182" s="34"/>
      <c r="L182" s="34"/>
      <c r="M182" s="34"/>
      <c r="N182" s="34"/>
      <c r="O182" s="34"/>
      <c r="P182" s="35"/>
      <c r="Q182" s="36" t="s">
        <v>8</v>
      </c>
      <c r="R182" s="359"/>
      <c r="S182" s="346"/>
      <c r="T182" s="346"/>
      <c r="U182" s="346"/>
      <c r="V182" s="346"/>
      <c r="W182" s="346"/>
    </row>
    <row r="183" spans="1:23" ht="15.75" customHeight="1" x14ac:dyDescent="0.35">
      <c r="A183" s="37">
        <v>1</v>
      </c>
      <c r="B183" s="349">
        <v>2</v>
      </c>
      <c r="C183" s="350"/>
      <c r="D183" s="350"/>
      <c r="E183" s="38"/>
      <c r="F183" s="37">
        <v>3</v>
      </c>
      <c r="G183" s="37">
        <v>4</v>
      </c>
      <c r="H183" s="349">
        <v>5</v>
      </c>
      <c r="I183" s="350"/>
      <c r="J183" s="350"/>
      <c r="K183" s="350"/>
      <c r="L183" s="350"/>
      <c r="M183" s="350"/>
      <c r="N183" s="350"/>
      <c r="O183" s="350"/>
      <c r="P183" s="351"/>
      <c r="Q183" s="39"/>
      <c r="R183" s="37">
        <v>6</v>
      </c>
      <c r="S183" s="37">
        <v>7</v>
      </c>
      <c r="T183" s="37">
        <v>7</v>
      </c>
      <c r="U183" s="37">
        <v>7</v>
      </c>
      <c r="V183" s="37">
        <v>7</v>
      </c>
      <c r="W183" s="37">
        <v>7</v>
      </c>
    </row>
    <row r="184" spans="1:23" ht="15.5" x14ac:dyDescent="0.35">
      <c r="A184" s="118" t="s">
        <v>73</v>
      </c>
      <c r="B184" s="113" t="s">
        <v>74</v>
      </c>
      <c r="C184" s="114"/>
      <c r="D184" s="119"/>
      <c r="E184" s="115"/>
      <c r="F184" s="120"/>
      <c r="G184" s="121"/>
      <c r="H184" s="116"/>
      <c r="I184" s="116"/>
      <c r="J184" s="116"/>
      <c r="K184" s="116"/>
      <c r="L184" s="116"/>
      <c r="M184" s="116"/>
      <c r="N184" s="116"/>
      <c r="O184" s="122"/>
      <c r="P184" s="123"/>
      <c r="Q184" s="117"/>
      <c r="R184" s="124"/>
      <c r="S184" s="125">
        <f t="shared" ref="S184:U187" si="39">S185</f>
        <v>2090144000</v>
      </c>
      <c r="T184" s="125">
        <f t="shared" si="39"/>
        <v>2090144000</v>
      </c>
      <c r="U184" s="125">
        <f t="shared" si="39"/>
        <v>0</v>
      </c>
      <c r="V184" s="125"/>
      <c r="W184" s="125"/>
    </row>
    <row r="185" spans="1:23" ht="15.5" x14ac:dyDescent="0.35">
      <c r="A185" s="126" t="s">
        <v>75</v>
      </c>
      <c r="B185" s="127" t="s">
        <v>76</v>
      </c>
      <c r="C185" s="128"/>
      <c r="D185" s="129"/>
      <c r="E185" s="130"/>
      <c r="F185" s="131"/>
      <c r="G185" s="132"/>
      <c r="H185" s="133"/>
      <c r="I185" s="133"/>
      <c r="J185" s="133"/>
      <c r="K185" s="133"/>
      <c r="L185" s="133"/>
      <c r="M185" s="133"/>
      <c r="N185" s="133"/>
      <c r="O185" s="134"/>
      <c r="P185" s="135"/>
      <c r="Q185" s="136"/>
      <c r="R185" s="137"/>
      <c r="S185" s="138">
        <f t="shared" si="39"/>
        <v>2090144000</v>
      </c>
      <c r="T185" s="138">
        <f t="shared" si="39"/>
        <v>2090144000</v>
      </c>
      <c r="U185" s="138">
        <f t="shared" si="39"/>
        <v>0</v>
      </c>
      <c r="V185" s="138"/>
      <c r="W185" s="138"/>
    </row>
    <row r="186" spans="1:23" ht="15.5" x14ac:dyDescent="0.35">
      <c r="A186" s="97" t="s">
        <v>77</v>
      </c>
      <c r="B186" s="98" t="s">
        <v>78</v>
      </c>
      <c r="C186" s="99"/>
      <c r="D186" s="100"/>
      <c r="E186" s="101"/>
      <c r="F186" s="102"/>
      <c r="G186" s="103"/>
      <c r="H186" s="104"/>
      <c r="I186" s="104"/>
      <c r="J186" s="104"/>
      <c r="K186" s="104"/>
      <c r="L186" s="104"/>
      <c r="M186" s="104"/>
      <c r="N186" s="104"/>
      <c r="O186" s="105"/>
      <c r="P186" s="106"/>
      <c r="Q186" s="107"/>
      <c r="R186" s="108"/>
      <c r="S186" s="112">
        <f t="shared" si="39"/>
        <v>2090144000</v>
      </c>
      <c r="T186" s="112">
        <f t="shared" si="39"/>
        <v>2090144000</v>
      </c>
      <c r="U186" s="112">
        <f t="shared" si="39"/>
        <v>0</v>
      </c>
      <c r="V186" s="112"/>
      <c r="W186" s="112"/>
    </row>
    <row r="187" spans="1:23" ht="15.5" x14ac:dyDescent="0.35">
      <c r="A187" s="73">
        <v>523121</v>
      </c>
      <c r="B187" s="74" t="s">
        <v>79</v>
      </c>
      <c r="C187" s="75"/>
      <c r="D187" s="76"/>
      <c r="E187" s="77"/>
      <c r="F187" s="78"/>
      <c r="G187" s="79"/>
      <c r="H187" s="80"/>
      <c r="I187" s="80"/>
      <c r="J187" s="80"/>
      <c r="K187" s="80"/>
      <c r="L187" s="80"/>
      <c r="M187" s="80"/>
      <c r="N187" s="80"/>
      <c r="O187" s="81"/>
      <c r="P187" s="82"/>
      <c r="Q187" s="83"/>
      <c r="R187" s="84"/>
      <c r="S187" s="85">
        <f t="shared" si="39"/>
        <v>2090144000</v>
      </c>
      <c r="T187" s="85">
        <f t="shared" si="39"/>
        <v>2090144000</v>
      </c>
      <c r="U187" s="85">
        <f t="shared" si="39"/>
        <v>0</v>
      </c>
      <c r="V187" s="85"/>
      <c r="W187" s="85"/>
    </row>
    <row r="188" spans="1:23" ht="15.5" x14ac:dyDescent="0.35">
      <c r="A188" s="49"/>
      <c r="B188" s="86" t="s">
        <v>26</v>
      </c>
      <c r="C188" s="87" t="s">
        <v>119</v>
      </c>
      <c r="D188" s="88"/>
      <c r="E188" s="89"/>
      <c r="F188" s="90"/>
      <c r="G188" s="91"/>
      <c r="H188" s="92"/>
      <c r="I188" s="92"/>
      <c r="J188" s="92"/>
      <c r="K188" s="92"/>
      <c r="L188" s="92"/>
      <c r="M188" s="92"/>
      <c r="N188" s="92"/>
      <c r="O188" s="92"/>
      <c r="P188" s="93"/>
      <c r="Q188" s="94"/>
      <c r="R188" s="95"/>
      <c r="S188" s="96">
        <f>S189+S198+S202</f>
        <v>2090144000</v>
      </c>
      <c r="T188" s="96">
        <f>T189+T198+T202</f>
        <v>2090144000</v>
      </c>
      <c r="U188" s="96">
        <f>U189+U198+U202</f>
        <v>0</v>
      </c>
      <c r="V188" s="96"/>
      <c r="W188" s="96"/>
    </row>
    <row r="189" spans="1:23" ht="15.5" x14ac:dyDescent="0.35">
      <c r="A189" s="49"/>
      <c r="B189" s="109"/>
      <c r="C189" s="67" t="s">
        <v>27</v>
      </c>
      <c r="D189" s="68" t="s">
        <v>121</v>
      </c>
      <c r="E189" s="69"/>
      <c r="F189" s="41"/>
      <c r="G189" s="26"/>
      <c r="H189" s="43"/>
      <c r="I189" s="43"/>
      <c r="J189" s="43"/>
      <c r="K189" s="43"/>
      <c r="L189" s="43"/>
      <c r="M189" s="43"/>
      <c r="N189" s="43"/>
      <c r="O189" s="43"/>
      <c r="P189" s="44"/>
      <c r="Q189" s="110"/>
      <c r="R189" s="111"/>
      <c r="S189" s="70">
        <f>SUM(S190:S197)</f>
        <v>1682094000</v>
      </c>
      <c r="T189" s="70">
        <f>SUM(T190:T197)</f>
        <v>1682094000</v>
      </c>
      <c r="U189" s="159">
        <f>SUM(U190:U197)</f>
        <v>0</v>
      </c>
      <c r="V189" s="70"/>
      <c r="W189" s="70"/>
    </row>
    <row r="190" spans="1:23" ht="15.5" x14ac:dyDescent="0.35">
      <c r="A190" s="49"/>
      <c r="B190" s="50"/>
      <c r="C190" s="51"/>
      <c r="D190" s="52" t="s">
        <v>172</v>
      </c>
      <c r="E190" s="40"/>
      <c r="F190" s="48"/>
      <c r="G190" s="47"/>
      <c r="H190" s="154">
        <v>2</v>
      </c>
      <c r="I190" s="42" t="s">
        <v>100</v>
      </c>
      <c r="J190" s="42" t="s">
        <v>0</v>
      </c>
      <c r="K190" s="42">
        <v>1</v>
      </c>
      <c r="L190" s="42" t="s">
        <v>120</v>
      </c>
      <c r="M190" s="72" t="s">
        <v>0</v>
      </c>
      <c r="N190" s="72">
        <v>1</v>
      </c>
      <c r="O190" s="72" t="s">
        <v>13</v>
      </c>
      <c r="P190" s="71"/>
      <c r="Q190" s="45">
        <f>H190*K190*N190</f>
        <v>2</v>
      </c>
      <c r="R190" s="334">
        <v>191697000</v>
      </c>
      <c r="S190" s="27">
        <f t="shared" ref="S190:S197" si="40">Q190*R190</f>
        <v>383394000</v>
      </c>
      <c r="T190" s="27">
        <f t="shared" ref="T190:T197" si="41">Q190*R190</f>
        <v>383394000</v>
      </c>
      <c r="U190" s="292">
        <f t="shared" ref="U190:U197" si="42">S190-T190</f>
        <v>0</v>
      </c>
      <c r="V190" s="27"/>
      <c r="W190" s="27"/>
    </row>
    <row r="191" spans="1:23" ht="15.5" x14ac:dyDescent="0.35">
      <c r="A191" s="49"/>
      <c r="B191" s="50"/>
      <c r="C191" s="51"/>
      <c r="D191" s="343" t="s">
        <v>173</v>
      </c>
      <c r="E191" s="344"/>
      <c r="F191" s="48"/>
      <c r="G191" s="47"/>
      <c r="H191" s="154">
        <v>2</v>
      </c>
      <c r="I191" s="42" t="s">
        <v>100</v>
      </c>
      <c r="J191" s="42" t="s">
        <v>0</v>
      </c>
      <c r="K191" s="42">
        <v>1</v>
      </c>
      <c r="L191" s="42" t="s">
        <v>120</v>
      </c>
      <c r="M191" s="72" t="s">
        <v>0</v>
      </c>
      <c r="N191" s="72">
        <v>1</v>
      </c>
      <c r="O191" s="72" t="s">
        <v>13</v>
      </c>
      <c r="P191" s="71"/>
      <c r="Q191" s="45">
        <f t="shared" ref="Q191:Q197" si="43">H191*K191*N191</f>
        <v>2</v>
      </c>
      <c r="R191" s="334">
        <v>360195000</v>
      </c>
      <c r="S191" s="27">
        <f t="shared" si="40"/>
        <v>720390000</v>
      </c>
      <c r="T191" s="27">
        <f t="shared" si="41"/>
        <v>720390000</v>
      </c>
      <c r="U191" s="292">
        <f t="shared" si="42"/>
        <v>0</v>
      </c>
      <c r="V191" s="27"/>
      <c r="W191" s="27"/>
    </row>
    <row r="192" spans="1:23" ht="15.5" x14ac:dyDescent="0.35">
      <c r="A192" s="49"/>
      <c r="B192" s="50"/>
      <c r="C192" s="51"/>
      <c r="D192" s="343" t="s">
        <v>174</v>
      </c>
      <c r="E192" s="344"/>
      <c r="F192" s="48"/>
      <c r="G192" s="47"/>
      <c r="H192" s="154">
        <v>1</v>
      </c>
      <c r="I192" s="42" t="s">
        <v>100</v>
      </c>
      <c r="J192" s="42" t="s">
        <v>0</v>
      </c>
      <c r="K192" s="42">
        <v>1</v>
      </c>
      <c r="L192" s="42" t="s">
        <v>120</v>
      </c>
      <c r="M192" s="72" t="s">
        <v>0</v>
      </c>
      <c r="N192" s="72">
        <v>1</v>
      </c>
      <c r="O192" s="72" t="s">
        <v>13</v>
      </c>
      <c r="P192" s="71"/>
      <c r="Q192" s="45">
        <f t="shared" si="43"/>
        <v>1</v>
      </c>
      <c r="R192" s="46">
        <v>149850000</v>
      </c>
      <c r="S192" s="27">
        <f t="shared" si="40"/>
        <v>149850000</v>
      </c>
      <c r="T192" s="27">
        <f t="shared" si="41"/>
        <v>149850000</v>
      </c>
      <c r="U192" s="292">
        <f t="shared" si="42"/>
        <v>0</v>
      </c>
      <c r="V192" s="27"/>
      <c r="W192" s="27"/>
    </row>
    <row r="193" spans="1:23" ht="15.5" x14ac:dyDescent="0.35">
      <c r="A193" s="49"/>
      <c r="B193" s="50"/>
      <c r="C193" s="51"/>
      <c r="D193" s="347" t="s">
        <v>175</v>
      </c>
      <c r="E193" s="348"/>
      <c r="F193" s="48"/>
      <c r="G193" s="47"/>
      <c r="H193" s="154">
        <v>1</v>
      </c>
      <c r="I193" s="42" t="s">
        <v>100</v>
      </c>
      <c r="J193" s="42" t="s">
        <v>0</v>
      </c>
      <c r="K193" s="42">
        <v>1</v>
      </c>
      <c r="L193" s="42" t="s">
        <v>120</v>
      </c>
      <c r="M193" s="72" t="s">
        <v>0</v>
      </c>
      <c r="N193" s="72">
        <v>1</v>
      </c>
      <c r="O193" s="72" t="s">
        <v>13</v>
      </c>
      <c r="P193" s="71"/>
      <c r="Q193" s="45">
        <f t="shared" si="43"/>
        <v>1</v>
      </c>
      <c r="R193" s="46">
        <v>88800000</v>
      </c>
      <c r="S193" s="27">
        <f t="shared" si="40"/>
        <v>88800000</v>
      </c>
      <c r="T193" s="27">
        <f t="shared" si="41"/>
        <v>88800000</v>
      </c>
      <c r="U193" s="292">
        <f t="shared" si="42"/>
        <v>0</v>
      </c>
      <c r="V193" s="27"/>
      <c r="W193" s="27"/>
    </row>
    <row r="194" spans="1:23" ht="15.5" x14ac:dyDescent="0.35">
      <c r="A194" s="49"/>
      <c r="B194" s="50"/>
      <c r="C194" s="51"/>
      <c r="D194" s="342" t="s">
        <v>176</v>
      </c>
      <c r="E194" s="343"/>
      <c r="F194" s="48"/>
      <c r="G194" s="47"/>
      <c r="H194" s="154">
        <v>2</v>
      </c>
      <c r="I194" s="42" t="s">
        <v>100</v>
      </c>
      <c r="J194" s="42" t="s">
        <v>0</v>
      </c>
      <c r="K194" s="42">
        <v>1</v>
      </c>
      <c r="L194" s="42" t="s">
        <v>120</v>
      </c>
      <c r="M194" s="72" t="s">
        <v>0</v>
      </c>
      <c r="N194" s="72">
        <v>1</v>
      </c>
      <c r="O194" s="72" t="s">
        <v>13</v>
      </c>
      <c r="P194" s="71"/>
      <c r="Q194" s="45">
        <f t="shared" si="43"/>
        <v>2</v>
      </c>
      <c r="R194" s="46">
        <v>19980000</v>
      </c>
      <c r="S194" s="27">
        <f t="shared" si="40"/>
        <v>39960000</v>
      </c>
      <c r="T194" s="27">
        <f t="shared" si="41"/>
        <v>39960000</v>
      </c>
      <c r="U194" s="292">
        <f t="shared" si="42"/>
        <v>0</v>
      </c>
      <c r="V194" s="27"/>
      <c r="W194" s="27"/>
    </row>
    <row r="195" spans="1:23" ht="15.5" x14ac:dyDescent="0.35">
      <c r="A195" s="49"/>
      <c r="B195" s="50"/>
      <c r="C195" s="51"/>
      <c r="D195" s="342" t="s">
        <v>177</v>
      </c>
      <c r="E195" s="343"/>
      <c r="F195" s="48"/>
      <c r="G195" s="47"/>
      <c r="H195" s="154">
        <v>2</v>
      </c>
      <c r="I195" s="42" t="s">
        <v>100</v>
      </c>
      <c r="J195" s="42" t="s">
        <v>0</v>
      </c>
      <c r="K195" s="42">
        <v>1</v>
      </c>
      <c r="L195" s="42" t="s">
        <v>120</v>
      </c>
      <c r="M195" s="72" t="s">
        <v>0</v>
      </c>
      <c r="N195" s="72">
        <v>1</v>
      </c>
      <c r="O195" s="72" t="s">
        <v>13</v>
      </c>
      <c r="P195" s="71"/>
      <c r="Q195" s="45">
        <f t="shared" si="43"/>
        <v>2</v>
      </c>
      <c r="R195" s="46">
        <v>8880000</v>
      </c>
      <c r="S195" s="27">
        <f t="shared" si="40"/>
        <v>17760000</v>
      </c>
      <c r="T195" s="27">
        <f t="shared" si="41"/>
        <v>17760000</v>
      </c>
      <c r="U195" s="292">
        <f t="shared" si="42"/>
        <v>0</v>
      </c>
      <c r="V195" s="27"/>
      <c r="W195" s="27"/>
    </row>
    <row r="196" spans="1:23" ht="15.5" x14ac:dyDescent="0.35">
      <c r="A196" s="49"/>
      <c r="B196" s="50"/>
      <c r="C196" s="51"/>
      <c r="D196" s="342" t="s">
        <v>178</v>
      </c>
      <c r="E196" s="343"/>
      <c r="F196" s="48"/>
      <c r="G196" s="47"/>
      <c r="H196" s="154">
        <v>4</v>
      </c>
      <c r="I196" s="42" t="s">
        <v>100</v>
      </c>
      <c r="J196" s="42" t="s">
        <v>0</v>
      </c>
      <c r="K196" s="42">
        <v>1</v>
      </c>
      <c r="L196" s="42" t="s">
        <v>120</v>
      </c>
      <c r="M196" s="72" t="s">
        <v>0</v>
      </c>
      <c r="N196" s="72">
        <v>1</v>
      </c>
      <c r="O196" s="72" t="s">
        <v>13</v>
      </c>
      <c r="P196" s="71"/>
      <c r="Q196" s="45">
        <f t="shared" si="43"/>
        <v>4</v>
      </c>
      <c r="R196" s="46">
        <v>53280000</v>
      </c>
      <c r="S196" s="27">
        <f t="shared" si="40"/>
        <v>213120000</v>
      </c>
      <c r="T196" s="27">
        <f t="shared" si="41"/>
        <v>213120000</v>
      </c>
      <c r="U196" s="292">
        <f t="shared" si="42"/>
        <v>0</v>
      </c>
      <c r="V196" s="27"/>
      <c r="W196" s="27"/>
    </row>
    <row r="197" spans="1:23" ht="15.5" x14ac:dyDescent="0.35">
      <c r="A197" s="49"/>
      <c r="B197" s="50"/>
      <c r="C197" s="51"/>
      <c r="D197" s="342" t="s">
        <v>179</v>
      </c>
      <c r="E197" s="343"/>
      <c r="F197" s="48"/>
      <c r="G197" s="47"/>
      <c r="H197" s="154">
        <v>2</v>
      </c>
      <c r="I197" s="42" t="s">
        <v>100</v>
      </c>
      <c r="J197" s="42" t="s">
        <v>0</v>
      </c>
      <c r="K197" s="42">
        <v>1</v>
      </c>
      <c r="L197" s="42" t="s">
        <v>120</v>
      </c>
      <c r="M197" s="72" t="s">
        <v>0</v>
      </c>
      <c r="N197" s="72">
        <v>1</v>
      </c>
      <c r="O197" s="72" t="s">
        <v>13</v>
      </c>
      <c r="P197" s="71"/>
      <c r="Q197" s="45">
        <f t="shared" si="43"/>
        <v>2</v>
      </c>
      <c r="R197" s="46">
        <v>34410000</v>
      </c>
      <c r="S197" s="27">
        <f t="shared" si="40"/>
        <v>68820000</v>
      </c>
      <c r="T197" s="27">
        <f t="shared" si="41"/>
        <v>68820000</v>
      </c>
      <c r="U197" s="292">
        <f t="shared" si="42"/>
        <v>0</v>
      </c>
      <c r="V197" s="27"/>
      <c r="W197" s="27"/>
    </row>
    <row r="198" spans="1:23" ht="15.5" x14ac:dyDescent="0.35">
      <c r="A198" s="49"/>
      <c r="B198" s="109"/>
      <c r="C198" s="321" t="s">
        <v>104</v>
      </c>
      <c r="D198" s="322" t="s">
        <v>122</v>
      </c>
      <c r="E198" s="69"/>
      <c r="F198" s="41"/>
      <c r="G198" s="26"/>
      <c r="H198" s="43"/>
      <c r="I198" s="43"/>
      <c r="J198" s="43"/>
      <c r="K198" s="43"/>
      <c r="L198" s="43"/>
      <c r="M198" s="43"/>
      <c r="N198" s="43"/>
      <c r="O198" s="43"/>
      <c r="P198" s="44"/>
      <c r="Q198" s="110"/>
      <c r="R198" s="323"/>
      <c r="S198" s="70">
        <f>S199+S200+S201</f>
        <v>400020000</v>
      </c>
      <c r="T198" s="70">
        <f>SUM(T199:T201)</f>
        <v>400020000</v>
      </c>
      <c r="U198" s="159">
        <f>SUM(U199:U201)</f>
        <v>0</v>
      </c>
      <c r="V198" s="70"/>
      <c r="W198" s="70"/>
    </row>
    <row r="199" spans="1:23" ht="15.5" x14ac:dyDescent="0.35">
      <c r="A199" s="49"/>
      <c r="B199" s="50"/>
      <c r="C199" s="281"/>
      <c r="D199" s="324" t="s">
        <v>193</v>
      </c>
      <c r="E199" s="40"/>
      <c r="F199" s="48"/>
      <c r="G199" s="47"/>
      <c r="H199" s="154">
        <v>1</v>
      </c>
      <c r="I199" s="42" t="s">
        <v>100</v>
      </c>
      <c r="J199" s="42" t="s">
        <v>0</v>
      </c>
      <c r="K199" s="42">
        <v>1</v>
      </c>
      <c r="L199" s="42" t="s">
        <v>120</v>
      </c>
      <c r="M199" s="42" t="s">
        <v>0</v>
      </c>
      <c r="N199" s="42">
        <v>1</v>
      </c>
      <c r="O199" s="42" t="s">
        <v>13</v>
      </c>
      <c r="P199" s="71"/>
      <c r="Q199" s="45">
        <f>H199*K199*N199</f>
        <v>1</v>
      </c>
      <c r="R199" s="46">
        <v>155528000</v>
      </c>
      <c r="S199" s="27">
        <f t="shared" ref="S199:S201" si="44">Q199*R199</f>
        <v>155528000</v>
      </c>
      <c r="T199" s="27">
        <f>Q199*R199</f>
        <v>155528000</v>
      </c>
      <c r="U199" s="292">
        <f>S199-T199</f>
        <v>0</v>
      </c>
      <c r="V199" s="27"/>
      <c r="W199" s="27"/>
    </row>
    <row r="200" spans="1:23" ht="15.5" x14ac:dyDescent="0.35">
      <c r="A200" s="49"/>
      <c r="B200" s="50"/>
      <c r="C200" s="281"/>
      <c r="D200" s="343" t="s">
        <v>194</v>
      </c>
      <c r="E200" s="344"/>
      <c r="F200" s="48"/>
      <c r="G200" s="47"/>
      <c r="H200" s="154">
        <v>1</v>
      </c>
      <c r="I200" s="42" t="s">
        <v>100</v>
      </c>
      <c r="J200" s="42" t="s">
        <v>0</v>
      </c>
      <c r="K200" s="42">
        <v>1</v>
      </c>
      <c r="L200" s="42" t="s">
        <v>120</v>
      </c>
      <c r="M200" s="42" t="s">
        <v>0</v>
      </c>
      <c r="N200" s="42">
        <v>1</v>
      </c>
      <c r="O200" s="42" t="s">
        <v>13</v>
      </c>
      <c r="P200" s="71"/>
      <c r="Q200" s="45">
        <f t="shared" ref="Q200" si="45">H200*K200*N200</f>
        <v>1</v>
      </c>
      <c r="R200" s="46">
        <v>72539000</v>
      </c>
      <c r="S200" s="27">
        <f t="shared" si="44"/>
        <v>72539000</v>
      </c>
      <c r="T200" s="27">
        <f>Q200*R200</f>
        <v>72539000</v>
      </c>
      <c r="U200" s="292">
        <f>S200-T200</f>
        <v>0</v>
      </c>
      <c r="V200" s="27"/>
      <c r="W200" s="27"/>
    </row>
    <row r="201" spans="1:23" ht="15.5" x14ac:dyDescent="0.35">
      <c r="A201" s="49"/>
      <c r="B201" s="50"/>
      <c r="C201" s="281"/>
      <c r="D201" s="324" t="s">
        <v>208</v>
      </c>
      <c r="E201" s="40"/>
      <c r="F201" s="48"/>
      <c r="G201" s="47"/>
      <c r="H201" s="154">
        <v>1</v>
      </c>
      <c r="I201" s="42" t="s">
        <v>100</v>
      </c>
      <c r="J201" s="42" t="s">
        <v>0</v>
      </c>
      <c r="K201" s="42">
        <v>1</v>
      </c>
      <c r="L201" s="42" t="s">
        <v>120</v>
      </c>
      <c r="M201" s="42"/>
      <c r="N201" s="42"/>
      <c r="O201" s="42"/>
      <c r="P201" s="44"/>
      <c r="Q201" s="45">
        <f>H201*K201</f>
        <v>1</v>
      </c>
      <c r="R201" s="325">
        <v>171953000</v>
      </c>
      <c r="S201" s="27">
        <f t="shared" si="44"/>
        <v>171953000</v>
      </c>
      <c r="T201" s="27">
        <f>Q201*R201</f>
        <v>171953000</v>
      </c>
      <c r="U201" s="312">
        <f>S201-T201</f>
        <v>0</v>
      </c>
      <c r="V201" s="27"/>
      <c r="W201" s="27"/>
    </row>
    <row r="202" spans="1:23" ht="15.5" x14ac:dyDescent="0.35">
      <c r="A202" s="49"/>
      <c r="B202" s="109"/>
      <c r="C202" s="321" t="s">
        <v>33</v>
      </c>
      <c r="D202" s="322" t="s">
        <v>227</v>
      </c>
      <c r="E202" s="69"/>
      <c r="F202" s="41"/>
      <c r="G202" s="26"/>
      <c r="H202" s="43"/>
      <c r="I202" s="43"/>
      <c r="J202" s="43"/>
      <c r="K202" s="43"/>
      <c r="L202" s="43"/>
      <c r="M202" s="43"/>
      <c r="N202" s="43"/>
      <c r="O202" s="43"/>
      <c r="P202" s="44"/>
      <c r="Q202" s="110"/>
      <c r="R202" s="323"/>
      <c r="S202" s="70">
        <f>S203+S204+S205</f>
        <v>8030000</v>
      </c>
      <c r="T202" s="70">
        <f>SUM(T203:T205)</f>
        <v>8030000</v>
      </c>
      <c r="U202" s="159">
        <f>SUM(U203:U205)</f>
        <v>0</v>
      </c>
      <c r="V202" s="70"/>
      <c r="W202" s="70"/>
    </row>
    <row r="203" spans="1:23" ht="15.5" x14ac:dyDescent="0.35">
      <c r="A203" s="49"/>
      <c r="B203" s="50"/>
      <c r="C203" s="281"/>
      <c r="D203" s="324" t="s">
        <v>228</v>
      </c>
      <c r="E203" s="40"/>
      <c r="F203" s="48"/>
      <c r="G203" s="47"/>
      <c r="H203" s="154">
        <v>11</v>
      </c>
      <c r="I203" s="42" t="s">
        <v>100</v>
      </c>
      <c r="J203" s="42" t="s">
        <v>0</v>
      </c>
      <c r="K203" s="42">
        <v>1</v>
      </c>
      <c r="L203" s="42" t="s">
        <v>120</v>
      </c>
      <c r="M203" s="42" t="s">
        <v>0</v>
      </c>
      <c r="N203" s="42">
        <v>1</v>
      </c>
      <c r="O203" s="42" t="s">
        <v>13</v>
      </c>
      <c r="P203" s="71"/>
      <c r="Q203" s="45">
        <f>H203*K203*N203</f>
        <v>11</v>
      </c>
      <c r="R203" s="46">
        <v>730000</v>
      </c>
      <c r="S203" s="27">
        <f>Q203*R203</f>
        <v>8030000</v>
      </c>
      <c r="T203" s="27">
        <f>Q203*R203</f>
        <v>8030000</v>
      </c>
      <c r="U203" s="292">
        <f>S203-T203</f>
        <v>0</v>
      </c>
      <c r="V203" s="27"/>
      <c r="W203" s="27"/>
    </row>
    <row r="204" spans="1:23" ht="15.5" x14ac:dyDescent="0.35">
      <c r="A204" s="49"/>
      <c r="B204" s="50"/>
      <c r="C204" s="51"/>
      <c r="D204" s="52"/>
      <c r="E204" s="40"/>
      <c r="F204" s="48"/>
      <c r="G204" s="47"/>
      <c r="H204" s="42"/>
      <c r="I204" s="42"/>
      <c r="J204" s="42"/>
      <c r="K204" s="42"/>
      <c r="L204" s="42"/>
      <c r="M204" s="72"/>
      <c r="N204" s="72"/>
      <c r="O204" s="72"/>
      <c r="P204" s="71"/>
      <c r="Q204" s="45"/>
      <c r="R204" s="53"/>
      <c r="S204" s="27"/>
      <c r="T204" s="27"/>
      <c r="U204" s="27"/>
      <c r="V204" s="27"/>
      <c r="W204" s="27"/>
    </row>
    <row r="205" spans="1:23" ht="15.5" x14ac:dyDescent="0.35">
      <c r="A205" s="54"/>
      <c r="B205" s="55"/>
      <c r="C205" s="56"/>
      <c r="D205" s="57"/>
      <c r="E205" s="58"/>
      <c r="F205" s="59"/>
      <c r="G205" s="60"/>
      <c r="H205" s="61"/>
      <c r="I205" s="61"/>
      <c r="J205" s="61"/>
      <c r="K205" s="61"/>
      <c r="L205" s="61"/>
      <c r="M205" s="61"/>
      <c r="N205" s="61"/>
      <c r="O205" s="62"/>
      <c r="P205" s="63"/>
      <c r="Q205" s="64"/>
      <c r="R205" s="65"/>
      <c r="S205" s="66"/>
      <c r="T205" s="66"/>
      <c r="U205" s="66"/>
      <c r="V205" s="66"/>
      <c r="W205" s="66"/>
    </row>
    <row r="206" spans="1:23" x14ac:dyDescent="0.35">
      <c r="A206" s="15"/>
      <c r="B206" s="16"/>
      <c r="C206" s="17"/>
      <c r="D206" s="18"/>
      <c r="E206" s="17"/>
      <c r="F206" s="14"/>
      <c r="G206" s="19"/>
      <c r="H206" s="20"/>
      <c r="I206" s="20"/>
      <c r="J206" s="20"/>
      <c r="K206" s="20"/>
      <c r="L206" s="20"/>
      <c r="M206" s="20"/>
      <c r="N206" s="20"/>
      <c r="O206" s="21"/>
      <c r="P206" s="22"/>
      <c r="Q206" s="23"/>
      <c r="R206" s="24"/>
      <c r="S206" s="25"/>
      <c r="T206" s="25"/>
      <c r="U206" s="25"/>
      <c r="V206" s="25"/>
      <c r="W206" s="25"/>
    </row>
    <row r="207" spans="1:23" x14ac:dyDescent="0.35">
      <c r="A207" s="15"/>
      <c r="B207" s="16"/>
      <c r="C207" s="17"/>
      <c r="D207" s="18"/>
      <c r="E207" s="17"/>
      <c r="F207" s="14"/>
      <c r="G207" s="19"/>
      <c r="H207" s="20"/>
      <c r="I207" s="20"/>
      <c r="J207" s="20"/>
      <c r="K207" s="20"/>
      <c r="L207" s="20"/>
      <c r="M207" s="20"/>
      <c r="N207" s="20"/>
      <c r="O207" s="21"/>
      <c r="P207" s="22"/>
      <c r="Q207" s="23"/>
      <c r="R207" s="24"/>
      <c r="S207" s="25"/>
      <c r="T207" s="25"/>
      <c r="U207" s="25"/>
      <c r="V207" s="25"/>
      <c r="W207" s="25"/>
    </row>
    <row r="208" spans="1:23" ht="15.5" x14ac:dyDescent="0.35">
      <c r="A208" s="15"/>
      <c r="B208" s="16"/>
      <c r="C208" s="17"/>
      <c r="D208" s="18"/>
      <c r="E208" s="17"/>
      <c r="F208" s="14"/>
      <c r="G208" s="19"/>
      <c r="H208" s="20"/>
      <c r="I208" s="20"/>
      <c r="J208" s="20"/>
      <c r="K208" s="20"/>
      <c r="L208" s="20"/>
      <c r="M208" s="20"/>
      <c r="N208" s="20"/>
      <c r="O208" s="341" t="s">
        <v>198</v>
      </c>
      <c r="P208" s="341"/>
      <c r="Q208" s="341"/>
      <c r="R208" s="341"/>
      <c r="S208" s="341"/>
      <c r="T208" s="341"/>
      <c r="U208" s="341"/>
      <c r="V208" s="25"/>
      <c r="W208" s="25"/>
    </row>
    <row r="209" spans="1:23" ht="15.5" x14ac:dyDescent="0.35">
      <c r="A209" s="15"/>
      <c r="B209" s="16"/>
      <c r="C209" s="17"/>
      <c r="D209" s="18"/>
      <c r="E209" s="17"/>
      <c r="F209" s="14"/>
      <c r="G209" s="19"/>
      <c r="H209" s="20"/>
      <c r="I209" s="20"/>
      <c r="J209" s="20"/>
      <c r="K209" s="20"/>
      <c r="L209" s="20"/>
      <c r="M209" s="20"/>
      <c r="N209" s="20"/>
      <c r="O209" s="341" t="s">
        <v>199</v>
      </c>
      <c r="P209" s="341"/>
      <c r="Q209" s="341"/>
      <c r="R209" s="341"/>
      <c r="S209" s="341"/>
      <c r="T209" s="341"/>
      <c r="U209" s="341"/>
      <c r="V209" s="25"/>
      <c r="W209" s="25"/>
    </row>
    <row r="210" spans="1:23" ht="15.5" x14ac:dyDescent="0.35">
      <c r="A210" s="15"/>
      <c r="B210" s="16"/>
      <c r="C210" s="17"/>
      <c r="D210" s="18"/>
      <c r="E210" s="17"/>
      <c r="F210" s="14"/>
      <c r="G210" s="19"/>
      <c r="H210" s="20"/>
      <c r="I210" s="20"/>
      <c r="J210" s="20"/>
      <c r="K210" s="20"/>
      <c r="L210" s="20"/>
      <c r="M210" s="20"/>
      <c r="N210" s="20"/>
      <c r="O210" s="21"/>
      <c r="P210" s="22"/>
      <c r="Q210" s="190"/>
      <c r="R210" s="191"/>
      <c r="S210" s="192"/>
      <c r="T210" s="192"/>
      <c r="U210" s="192"/>
      <c r="V210" s="25"/>
      <c r="W210" s="25"/>
    </row>
    <row r="211" spans="1:23" ht="15.5" x14ac:dyDescent="0.35">
      <c r="A211" s="15"/>
      <c r="B211" s="16"/>
      <c r="C211" s="17"/>
      <c r="D211" s="18"/>
      <c r="E211" s="17"/>
      <c r="F211" s="14"/>
      <c r="G211" s="19"/>
      <c r="H211" s="20"/>
      <c r="I211" s="20"/>
      <c r="J211" s="20"/>
      <c r="K211" s="20"/>
      <c r="L211" s="20"/>
      <c r="M211" s="20"/>
      <c r="N211" s="20"/>
      <c r="O211" s="21"/>
      <c r="P211" s="22"/>
      <c r="Q211" s="190"/>
      <c r="R211" s="191"/>
      <c r="S211" s="192"/>
      <c r="T211" s="192"/>
      <c r="U211" s="192"/>
      <c r="V211" s="25"/>
      <c r="W211" s="25"/>
    </row>
    <row r="212" spans="1:23" ht="15.5" x14ac:dyDescent="0.35">
      <c r="A212" s="15"/>
      <c r="B212" s="16"/>
      <c r="C212" s="17"/>
      <c r="D212" s="18"/>
      <c r="E212" s="17"/>
      <c r="F212" s="14"/>
      <c r="G212" s="19"/>
      <c r="H212" s="20"/>
      <c r="I212" s="20"/>
      <c r="J212" s="20"/>
      <c r="K212" s="20"/>
      <c r="L212" s="20"/>
      <c r="M212" s="20"/>
      <c r="N212" s="20"/>
      <c r="O212" s="21"/>
      <c r="P212" s="22"/>
      <c r="Q212" s="190"/>
      <c r="R212" s="191"/>
      <c r="S212" s="192"/>
      <c r="T212" s="192"/>
      <c r="U212" s="192"/>
      <c r="V212" s="25"/>
      <c r="W212" s="25"/>
    </row>
    <row r="213" spans="1:23" ht="15.5" x14ac:dyDescent="0.35">
      <c r="A213" s="15"/>
      <c r="B213" s="16"/>
      <c r="C213" s="17"/>
      <c r="D213" s="18"/>
      <c r="E213" s="17"/>
      <c r="F213" s="14"/>
      <c r="G213" s="19"/>
      <c r="H213" s="20"/>
      <c r="I213" s="20"/>
      <c r="J213" s="20"/>
      <c r="K213" s="20"/>
      <c r="L213" s="20"/>
      <c r="M213" s="20"/>
      <c r="N213" s="20"/>
      <c r="O213" s="341" t="s">
        <v>200</v>
      </c>
      <c r="P213" s="341"/>
      <c r="Q213" s="341"/>
      <c r="R213" s="341"/>
      <c r="S213" s="341"/>
      <c r="T213" s="341"/>
      <c r="U213" s="341"/>
      <c r="V213" s="25"/>
      <c r="W213" s="25"/>
    </row>
    <row r="214" spans="1:23" ht="15.5" x14ac:dyDescent="0.35">
      <c r="A214" s="15"/>
      <c r="B214" s="16"/>
      <c r="C214" s="17"/>
      <c r="D214" s="18"/>
      <c r="E214" s="17"/>
      <c r="F214" s="14"/>
      <c r="G214" s="19"/>
      <c r="H214" s="20"/>
      <c r="I214" s="20"/>
      <c r="J214" s="20"/>
      <c r="K214" s="20"/>
      <c r="L214" s="20"/>
      <c r="M214" s="20"/>
      <c r="N214" s="20"/>
      <c r="O214" s="341" t="s">
        <v>201</v>
      </c>
      <c r="P214" s="341"/>
      <c r="Q214" s="341"/>
      <c r="R214" s="341"/>
      <c r="S214" s="341"/>
      <c r="T214" s="341"/>
      <c r="U214" s="341"/>
      <c r="V214" s="25"/>
      <c r="W214" s="25"/>
    </row>
    <row r="215" spans="1:23" x14ac:dyDescent="0.35">
      <c r="A215" s="15"/>
      <c r="B215" s="16"/>
      <c r="C215" s="17"/>
      <c r="D215" s="18"/>
      <c r="E215" s="17"/>
      <c r="F215" s="14"/>
      <c r="G215" s="19"/>
      <c r="H215" s="20"/>
      <c r="I215" s="20"/>
      <c r="J215" s="20"/>
      <c r="K215" s="20"/>
      <c r="L215" s="20"/>
      <c r="M215" s="20"/>
      <c r="N215" s="20"/>
      <c r="O215" s="21"/>
      <c r="P215" s="22"/>
      <c r="Q215" s="23"/>
      <c r="R215" s="24"/>
      <c r="S215" s="25"/>
      <c r="T215" s="25"/>
      <c r="U215" s="25"/>
      <c r="V215" s="25"/>
      <c r="W215" s="25"/>
    </row>
    <row r="216" spans="1:23" x14ac:dyDescent="0.35">
      <c r="A216" s="15"/>
      <c r="B216" s="16"/>
      <c r="C216" s="17"/>
      <c r="D216" s="18"/>
      <c r="E216" s="17"/>
      <c r="F216" s="14"/>
      <c r="G216" s="19"/>
      <c r="H216" s="20"/>
      <c r="I216" s="20"/>
      <c r="J216" s="20"/>
      <c r="K216" s="20"/>
      <c r="L216" s="20"/>
      <c r="M216" s="20"/>
      <c r="N216" s="20"/>
      <c r="O216" s="21"/>
      <c r="P216" s="22"/>
      <c r="Q216" s="23"/>
      <c r="R216" s="24"/>
      <c r="S216" s="25"/>
      <c r="T216" s="25"/>
      <c r="U216" s="25"/>
      <c r="V216" s="25"/>
      <c r="W216" s="25"/>
    </row>
    <row r="217" spans="1:23" x14ac:dyDescent="0.35">
      <c r="A217" s="15"/>
      <c r="B217" s="16"/>
      <c r="C217" s="17"/>
      <c r="D217" s="18"/>
      <c r="E217" s="17"/>
      <c r="F217" s="14"/>
      <c r="G217" s="19"/>
      <c r="H217" s="20"/>
      <c r="I217" s="20"/>
      <c r="J217" s="20"/>
      <c r="K217" s="20"/>
      <c r="L217" s="20"/>
      <c r="M217" s="20"/>
      <c r="N217" s="20"/>
      <c r="O217" s="21"/>
      <c r="P217" s="22"/>
      <c r="Q217" s="23"/>
      <c r="R217" s="24"/>
      <c r="S217" s="25"/>
      <c r="T217" s="25"/>
      <c r="U217" s="25"/>
      <c r="V217" s="25"/>
      <c r="W217" s="25"/>
    </row>
    <row r="218" spans="1:23" x14ac:dyDescent="0.35">
      <c r="A218" s="15"/>
      <c r="B218" s="16"/>
      <c r="C218" s="17"/>
      <c r="D218" s="18"/>
      <c r="E218" s="17"/>
      <c r="F218" s="14"/>
      <c r="G218" s="19"/>
      <c r="H218" s="20"/>
      <c r="I218" s="20"/>
      <c r="J218" s="20"/>
      <c r="K218" s="20"/>
      <c r="L218" s="20"/>
      <c r="M218" s="20"/>
      <c r="N218" s="20"/>
      <c r="O218" s="21"/>
      <c r="P218" s="22"/>
      <c r="Q218" s="23"/>
      <c r="R218" s="24"/>
      <c r="S218" s="25"/>
      <c r="T218" s="25"/>
      <c r="U218" s="25"/>
      <c r="V218" s="25"/>
      <c r="W218" s="25"/>
    </row>
    <row r="219" spans="1:23" x14ac:dyDescent="0.35">
      <c r="A219" s="15"/>
      <c r="B219" s="16"/>
      <c r="C219" s="17"/>
      <c r="D219" s="18"/>
      <c r="E219" s="17"/>
      <c r="F219" s="14"/>
      <c r="G219" s="19"/>
      <c r="H219" s="20"/>
      <c r="I219" s="20"/>
      <c r="J219" s="20"/>
      <c r="K219" s="20"/>
      <c r="L219" s="20"/>
      <c r="M219" s="20"/>
      <c r="N219" s="20"/>
      <c r="O219" s="21"/>
      <c r="P219" s="22"/>
      <c r="Q219" s="23"/>
      <c r="R219" s="24"/>
      <c r="S219" s="25"/>
      <c r="T219" s="25"/>
      <c r="U219" s="25"/>
      <c r="V219" s="25"/>
      <c r="W219" s="25"/>
    </row>
    <row r="220" spans="1:23" x14ac:dyDescent="0.35">
      <c r="A220" s="15"/>
      <c r="B220" s="16"/>
      <c r="C220" s="17"/>
      <c r="D220" s="18"/>
      <c r="E220" s="17"/>
      <c r="F220" s="14"/>
      <c r="G220" s="19"/>
      <c r="H220" s="20"/>
      <c r="I220" s="20"/>
      <c r="J220" s="20"/>
      <c r="K220" s="20"/>
      <c r="L220" s="20"/>
      <c r="M220" s="20"/>
      <c r="N220" s="20"/>
      <c r="O220" s="21"/>
      <c r="P220" s="22"/>
      <c r="Q220" s="23"/>
      <c r="R220" s="24"/>
      <c r="S220" s="25"/>
      <c r="T220" s="25"/>
      <c r="U220" s="25"/>
      <c r="V220" s="25"/>
      <c r="W220" s="25"/>
    </row>
    <row r="221" spans="1:23" x14ac:dyDescent="0.35">
      <c r="A221" s="15"/>
      <c r="B221" s="16"/>
      <c r="C221" s="17"/>
      <c r="D221" s="18"/>
      <c r="E221" s="17"/>
      <c r="F221" s="14"/>
      <c r="G221" s="19"/>
      <c r="H221" s="20"/>
      <c r="I221" s="20"/>
      <c r="J221" s="20"/>
      <c r="K221" s="20"/>
      <c r="L221" s="20"/>
      <c r="M221" s="20"/>
      <c r="N221" s="20"/>
      <c r="O221" s="21"/>
      <c r="P221" s="22"/>
      <c r="Q221" s="23"/>
      <c r="R221" s="24"/>
      <c r="S221" s="25"/>
      <c r="T221" s="25"/>
      <c r="U221" s="25"/>
      <c r="V221" s="25"/>
      <c r="W221" s="25"/>
    </row>
    <row r="222" spans="1:23" x14ac:dyDescent="0.35">
      <c r="A222" s="15"/>
      <c r="B222" s="16"/>
      <c r="C222" s="17"/>
      <c r="D222" s="18"/>
      <c r="E222" s="17"/>
      <c r="F222" s="14"/>
      <c r="G222" s="19"/>
      <c r="H222" s="20"/>
      <c r="I222" s="20"/>
      <c r="J222" s="20"/>
      <c r="K222" s="20"/>
      <c r="L222" s="20"/>
      <c r="M222" s="20"/>
      <c r="N222" s="20"/>
      <c r="O222" s="21"/>
      <c r="P222" s="22"/>
      <c r="Q222" s="23"/>
      <c r="R222" s="24"/>
      <c r="S222" s="25"/>
      <c r="T222" s="25"/>
      <c r="U222" s="25"/>
      <c r="V222" s="25"/>
      <c r="W222" s="25"/>
    </row>
    <row r="223" spans="1:23" x14ac:dyDescent="0.35">
      <c r="A223" s="15"/>
      <c r="B223" s="16"/>
      <c r="C223" s="17"/>
      <c r="D223" s="18"/>
      <c r="E223" s="17"/>
      <c r="F223" s="14"/>
      <c r="G223" s="19"/>
      <c r="H223" s="20"/>
      <c r="I223" s="20"/>
      <c r="J223" s="20"/>
      <c r="K223" s="20"/>
      <c r="L223" s="20"/>
      <c r="M223" s="20"/>
      <c r="N223" s="20"/>
      <c r="O223" s="21"/>
      <c r="P223" s="22"/>
      <c r="Q223" s="23"/>
      <c r="R223" s="24"/>
      <c r="S223" s="25"/>
      <c r="T223" s="25"/>
      <c r="U223" s="25"/>
      <c r="V223" s="25"/>
      <c r="W223" s="25"/>
    </row>
    <row r="224" spans="1:23" ht="6" customHeight="1" x14ac:dyDescent="0.35">
      <c r="A224" s="15"/>
      <c r="B224" s="16"/>
      <c r="C224" s="17"/>
      <c r="D224" s="18"/>
      <c r="E224" s="17"/>
      <c r="F224" s="14"/>
      <c r="G224" s="19"/>
      <c r="H224" s="20"/>
      <c r="I224" s="20"/>
      <c r="J224" s="20"/>
      <c r="K224" s="20"/>
      <c r="L224" s="20"/>
      <c r="M224" s="20"/>
      <c r="N224" s="20"/>
      <c r="O224" s="21"/>
      <c r="P224" s="22"/>
      <c r="Q224" s="23"/>
      <c r="R224" s="24"/>
      <c r="S224" s="25"/>
      <c r="T224" s="25"/>
      <c r="U224" s="25"/>
      <c r="V224" s="25"/>
      <c r="W224" s="25"/>
    </row>
    <row r="225" spans="1:23" ht="9.75" customHeight="1" x14ac:dyDescent="0.35">
      <c r="A225" s="15"/>
      <c r="B225" s="16"/>
      <c r="C225" s="17"/>
      <c r="D225" s="18"/>
      <c r="E225" s="17"/>
      <c r="F225" s="14"/>
      <c r="G225" s="19"/>
      <c r="H225" s="20"/>
      <c r="I225" s="20"/>
      <c r="J225" s="20"/>
      <c r="K225" s="20"/>
      <c r="L225" s="20"/>
      <c r="M225" s="20"/>
      <c r="N225" s="20"/>
      <c r="O225" s="21"/>
      <c r="P225" s="22"/>
      <c r="Q225" s="23"/>
      <c r="R225" s="24"/>
      <c r="S225" s="25"/>
      <c r="T225" s="25"/>
      <c r="U225" s="25"/>
      <c r="V225" s="25"/>
      <c r="W225" s="25"/>
    </row>
    <row r="226" spans="1:23" ht="9.75" customHeight="1" x14ac:dyDescent="0.35">
      <c r="A226" s="15"/>
      <c r="B226" s="16"/>
      <c r="C226" s="17"/>
      <c r="D226" s="18"/>
      <c r="E226" s="17"/>
      <c r="F226" s="14"/>
      <c r="G226" s="19"/>
      <c r="H226" s="20"/>
      <c r="I226" s="20"/>
      <c r="J226" s="20"/>
      <c r="K226" s="20"/>
      <c r="L226" s="20"/>
      <c r="M226" s="20"/>
      <c r="N226" s="20"/>
      <c r="O226" s="21"/>
      <c r="P226" s="22"/>
      <c r="Q226" s="23"/>
      <c r="R226" s="24"/>
      <c r="S226" s="25"/>
      <c r="T226" s="25"/>
      <c r="U226" s="25"/>
      <c r="V226" s="25"/>
      <c r="W226" s="25"/>
    </row>
    <row r="227" spans="1:23" ht="15.5" x14ac:dyDescent="0.35">
      <c r="A227" s="9"/>
      <c r="B227" s="8"/>
      <c r="C227" s="8"/>
      <c r="D227" s="13"/>
      <c r="G227" s="3"/>
      <c r="H227" s="3"/>
      <c r="I227" s="3"/>
      <c r="J227" s="3"/>
      <c r="K227" s="3"/>
      <c r="L227" s="3"/>
      <c r="M227" s="3"/>
      <c r="N227" s="3"/>
      <c r="O227" s="4"/>
      <c r="P227" s="5"/>
      <c r="Q227" s="1"/>
      <c r="R227" s="6"/>
    </row>
    <row r="228" spans="1:23" ht="15.5" x14ac:dyDescent="0.35">
      <c r="A228" s="9"/>
      <c r="B228" s="8"/>
      <c r="C228" s="8"/>
      <c r="D228" s="13"/>
      <c r="G228" s="3"/>
      <c r="H228" s="3"/>
      <c r="I228" s="3"/>
      <c r="J228" s="3"/>
      <c r="K228" s="3"/>
      <c r="L228" s="3"/>
      <c r="M228" s="3"/>
      <c r="N228" s="3"/>
      <c r="O228" s="4"/>
      <c r="P228" s="5"/>
      <c r="Q228" s="1"/>
      <c r="R228" s="6"/>
    </row>
    <row r="229" spans="1:23" ht="15.5" x14ac:dyDescent="0.35">
      <c r="A229" s="9"/>
      <c r="B229" s="8"/>
      <c r="C229" s="8"/>
      <c r="D229" s="13"/>
      <c r="G229" s="3"/>
      <c r="H229" s="3"/>
      <c r="I229" s="3"/>
      <c r="J229" s="3"/>
      <c r="K229" s="3"/>
      <c r="L229" s="3"/>
      <c r="M229" s="3"/>
      <c r="N229" s="3"/>
      <c r="O229" s="4"/>
      <c r="P229" s="5"/>
      <c r="Q229" s="1"/>
      <c r="R229" s="6"/>
    </row>
    <row r="230" spans="1:23" x14ac:dyDescent="0.35">
      <c r="D230" s="13"/>
    </row>
  </sheetData>
  <mergeCells count="80">
    <mergeCell ref="B11:D11"/>
    <mergeCell ref="H11:P11"/>
    <mergeCell ref="A5:U5"/>
    <mergeCell ref="A6:U6"/>
    <mergeCell ref="A7:U7"/>
    <mergeCell ref="A9:A10"/>
    <mergeCell ref="B9:E10"/>
    <mergeCell ref="F9:F10"/>
    <mergeCell ref="G9:G10"/>
    <mergeCell ref="H9:Q9"/>
    <mergeCell ref="R9:R10"/>
    <mergeCell ref="S9:S10"/>
    <mergeCell ref="R47:R48"/>
    <mergeCell ref="T9:T10"/>
    <mergeCell ref="U9:U10"/>
    <mergeCell ref="V9:V10"/>
    <mergeCell ref="W9:W10"/>
    <mergeCell ref="S47:S48"/>
    <mergeCell ref="T47:T48"/>
    <mergeCell ref="U47:U48"/>
    <mergeCell ref="V47:V48"/>
    <mergeCell ref="W47:W48"/>
    <mergeCell ref="B49:D49"/>
    <mergeCell ref="H49:P49"/>
    <mergeCell ref="A47:A48"/>
    <mergeCell ref="B47:E48"/>
    <mergeCell ref="F47:F48"/>
    <mergeCell ref="G47:G48"/>
    <mergeCell ref="H47:Q47"/>
    <mergeCell ref="W84:W85"/>
    <mergeCell ref="B86:D86"/>
    <mergeCell ref="H86:P86"/>
    <mergeCell ref="A84:A85"/>
    <mergeCell ref="B84:E85"/>
    <mergeCell ref="F84:F85"/>
    <mergeCell ref="G84:G85"/>
    <mergeCell ref="H84:Q84"/>
    <mergeCell ref="R84:R85"/>
    <mergeCell ref="V84:V85"/>
    <mergeCell ref="S84:S85"/>
    <mergeCell ref="T84:T85"/>
    <mergeCell ref="U84:U85"/>
    <mergeCell ref="S136:S137"/>
    <mergeCell ref="T136:T137"/>
    <mergeCell ref="U136:U137"/>
    <mergeCell ref="V136:V137"/>
    <mergeCell ref="H136:Q136"/>
    <mergeCell ref="R136:R137"/>
    <mergeCell ref="W136:W137"/>
    <mergeCell ref="W181:W182"/>
    <mergeCell ref="B183:D183"/>
    <mergeCell ref="H183:P183"/>
    <mergeCell ref="A181:A182"/>
    <mergeCell ref="B181:E182"/>
    <mergeCell ref="F181:F182"/>
    <mergeCell ref="G181:G182"/>
    <mergeCell ref="H181:Q181"/>
    <mergeCell ref="R181:R182"/>
    <mergeCell ref="B138:D138"/>
    <mergeCell ref="H138:P138"/>
    <mergeCell ref="A136:A137"/>
    <mergeCell ref="B136:E137"/>
    <mergeCell ref="F136:F137"/>
    <mergeCell ref="G136:G137"/>
    <mergeCell ref="D196:E196"/>
    <mergeCell ref="S181:S182"/>
    <mergeCell ref="T181:T182"/>
    <mergeCell ref="U181:U182"/>
    <mergeCell ref="V181:V182"/>
    <mergeCell ref="D191:E191"/>
    <mergeCell ref="D192:E192"/>
    <mergeCell ref="D193:E193"/>
    <mergeCell ref="D194:E194"/>
    <mergeCell ref="D195:E195"/>
    <mergeCell ref="O213:U213"/>
    <mergeCell ref="O214:U214"/>
    <mergeCell ref="D197:E197"/>
    <mergeCell ref="D200:E200"/>
    <mergeCell ref="O208:U208"/>
    <mergeCell ref="O209:U209"/>
  </mergeCells>
  <printOptions horizontalCentered="1"/>
  <pageMargins left="0.39370078740157483" right="0.39370078740157483" top="0.39370078740157483" bottom="0.39370078740157483" header="0" footer="0"/>
  <pageSetup paperSize="9" scale="75" orientation="landscape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RAB Revisi ke-4</vt:lpstr>
      <vt:lpstr>'RAB Revisi ke-4'!Print_Area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erikealwiyani@cyberpmj.id</cp:lastModifiedBy>
  <cp:lastPrinted>2024-04-17T14:47:00Z</cp:lastPrinted>
  <dcterms:created xsi:type="dcterms:W3CDTF">2020-01-16T06:25:09Z</dcterms:created>
  <dcterms:modified xsi:type="dcterms:W3CDTF">2024-09-26T10:53:35Z</dcterms:modified>
</cp:coreProperties>
</file>